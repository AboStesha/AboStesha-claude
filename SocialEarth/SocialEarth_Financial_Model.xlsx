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لملخص السنوي" sheetId="1" state="visible" r:id="rId3"/>
    <sheet name="الافتراضات" sheetId="2" state="visible" r:id="rId4"/>
    <sheet name="الفريق" sheetId="3" state="visible" r:id="rId5"/>
    <sheet name="النموذج الشهري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<sst xmlns="http://schemas.openxmlformats.org/spreadsheetml/2006/main" count="267" uniqueCount="201">
  <si>
    <t xml:space="preserve">SocialEarth – الملخص المالي لثلاث سنوات</t>
  </si>
  <si>
    <t xml:space="preserve">السيناريو المعروض:</t>
  </si>
  <si>
    <t xml:space="preserve">← غيّره من ورقة الافتراضات (الخلية C4)</t>
  </si>
  <si>
    <t xml:space="preserve">نوف 26 – أكت 27</t>
  </si>
  <si>
    <t xml:space="preserve">نوف 27 – أكت 28</t>
  </si>
  <si>
    <t xml:space="preserve">نوف 28 – أكت 29</t>
  </si>
  <si>
    <t xml:space="preserve">البند</t>
  </si>
  <si>
    <t xml:space="preserve">السنة 1</t>
  </si>
  <si>
    <t xml:space="preserve">السنة 2</t>
  </si>
  <si>
    <t xml:space="preserve">السنة 3</t>
  </si>
  <si>
    <t xml:space="preserve">الإجمالي</t>
  </si>
  <si>
    <t xml:space="preserve">المستخدمون</t>
  </si>
  <si>
    <t xml:space="preserve">المستخدمون النشطون آخر السنة (MAU)</t>
  </si>
  <si>
    <t xml:space="preserve">التحميلات الجديدة خلال السنة</t>
  </si>
  <si>
    <t xml:space="preserve">الأرباح والخسائر</t>
  </si>
  <si>
    <t xml:space="preserve">مشتريات داخل التطبيق</t>
  </si>
  <si>
    <t xml:space="preserve">المحلات الممولة</t>
  </si>
  <si>
    <t xml:space="preserve">الفعاليات والعلامات التجارية</t>
  </si>
  <si>
    <t xml:space="preserve">إجمالي الإيرادات</t>
  </si>
  <si>
    <t xml:space="preserve">تكلفة الإيرادات</t>
  </si>
  <si>
    <t xml:space="preserve">إجمالي الربح</t>
  </si>
  <si>
    <t xml:space="preserve">الرواتب</t>
  </si>
  <si>
    <t xml:space="preserve">التسويق</t>
  </si>
  <si>
    <t xml:space="preserve">أدوات وإدارية ولمرة واحدة وطوارئ</t>
  </si>
  <si>
    <t xml:space="preserve">إجمالي المصاريف التشغيلية</t>
  </si>
  <si>
    <t xml:space="preserve">صافي الربح / الخسارة التشغيلية</t>
  </si>
  <si>
    <t xml:space="preserve">النقد والتمويل</t>
  </si>
  <si>
    <t xml:space="preserve">التمويل المستلم</t>
  </si>
  <si>
    <t xml:space="preserve">النقد آخر السنة</t>
  </si>
  <si>
    <t xml:space="preserve">عدد الفريق آخر السنة</t>
  </si>
  <si>
    <t xml:space="preserve">المؤشرات الرئيسية</t>
  </si>
  <si>
    <t xml:space="preserve">نمو الإيرادات السنوي</t>
  </si>
  <si>
    <t xml:space="preserve">هامش الربح الإجمالي</t>
  </si>
  <si>
    <t xml:space="preserve">تكلفة اكتساب مستخدم (تسويق ÷ تحميلات)</t>
  </si>
  <si>
    <t xml:space="preserve">تكلفة اكتساب مستخدم نشط</t>
  </si>
  <si>
    <t xml:space="preserve">متوسط الإيراد الشهري لكل مستخدم نشط (ARPU)</t>
  </si>
  <si>
    <t xml:space="preserve">القيمة الدائمة للمستخدم النشط (LTV)</t>
  </si>
  <si>
    <t xml:space="preserve">نسبة LTV إلى تكلفة الاكتساب (الهدف &gt; 3)</t>
  </si>
  <si>
    <t xml:space="preserve">فحص كفاية التمويل</t>
  </si>
  <si>
    <t xml:space="preserve">أدنى رصيد نقدي خلال 36 شهراً</t>
  </si>
  <si>
    <t xml:space="preserve">أعلى حرق شهري</t>
  </si>
  <si>
    <t xml:space="preserve">ملكية المؤسسين بعد Seed و Series A</t>
  </si>
  <si>
    <t xml:space="preserve">ملاحظات مهمة:</t>
  </si>
  <si>
    <t xml:space="preserve">• كل الأرقام تقديرات لأغراض التخطيط وليست ضماناً. عدّل الخلايا الزرقاء في ورقة الافتراضات وسيتحدث النموذج تلقائياً.</t>
  </si>
  <si>
    <t xml:space="preserve">• التطبيقات الاجتماعية عادةً لا تربح في أول 3 سنوات؛ قيمتها عند البيع تُقاس بعدد المستخدمين النشطين ونسبة بقائهم.</t>
  </si>
  <si>
    <t xml:space="preserve">• لا تصرف ميزانية إطلاق الرياض إلا بعد تحقيق نسب البقاء المستهدفة في اختبار الكثافة.</t>
  </si>
  <si>
    <t xml:space="preserve">SocialEarth – الافتراضات (كل الأرقام بالدولار الأمريكي)</t>
  </si>
  <si>
    <t xml:space="preserve">دليل الألوان: أزرق = مُدخل يمكنك تعديله · أسود = معادلة · أخضر = رابط من ورقة أخرى · أصفر = افتراض رئيسي</t>
  </si>
  <si>
    <t xml:space="preserve">السيناريو المختار ←</t>
  </si>
  <si>
    <t xml:space="preserve">أساسي</t>
  </si>
  <si>
    <t xml:space="preserve">← اختر من القائمة: متحفظ / أساسي / متفائل</t>
  </si>
  <si>
    <t xml:space="preserve">1) افتراضات السيناريو</t>
  </si>
  <si>
    <t xml:space="preserve">متحفظ</t>
  </si>
  <si>
    <t xml:space="preserve">متفائل</t>
  </si>
  <si>
    <t xml:space="preserve">المُفعّل</t>
  </si>
  <si>
    <t xml:space="preserve">ملاحظة / المصدر</t>
  </si>
  <si>
    <t xml:space="preserve">تكلفة التحميل الواحد (CPI)</t>
  </si>
  <si>
    <t xml:space="preserve">تقدير لإعلانات سناب وتيك توك في السعودية لتطبيقات اجتماعية</t>
  </si>
  <si>
    <t xml:space="preserve">نمو عضوي: مستخدمون جدد شهرياً لكل مستخدم نشط</t>
  </si>
  <si>
    <t xml:space="preserve">دعوات الأصدقاء + المشاركة على سناب (Creative Kit)</t>
  </si>
  <si>
    <t xml:space="preserve">نسبة من يبقى نشطاً بعد الشهر الأول</t>
  </si>
  <si>
    <t xml:space="preserve">تقدير؛ معيار التطبيقات الاجتماعية الناجحة 30–45%</t>
  </si>
  <si>
    <t xml:space="preserve">نسبة فقدان المستخدمين النشطين شهرياً</t>
  </si>
  <si>
    <t xml:space="preserve">تقدير</t>
  </si>
  <si>
    <t xml:space="preserve">نسبة المستخدمين الدافعين</t>
  </si>
  <si>
    <t xml:space="preserve">معيار ألعاب الجوال 1–5%</t>
  </si>
  <si>
    <t xml:space="preserve">متوسط إنفاق الدافع شهرياً (قبل عمولة المتجر)</t>
  </si>
  <si>
    <t xml:space="preserve">تقدير؛ العملات، السفر، السيارات، أثاث البيت</t>
  </si>
  <si>
    <t xml:space="preserve">عدد المستخدمين النشطين لكل محل ممول</t>
  </si>
  <si>
    <t xml:space="preserve">تقدير؛ كثافة المحلات الممولة في الخريطة</t>
  </si>
  <si>
    <t xml:space="preserve">اشتراك المحل الممول شهرياً</t>
  </si>
  <si>
    <t xml:space="preserve">تقدير لمقاهٍ ومطاعم الرياض</t>
  </si>
  <si>
    <t xml:space="preserve">إيراد الفعاليات والعلامات التجارية لكل مستخدم نشط شهرياً</t>
  </si>
  <si>
    <t xml:space="preserve">مبلغ جولة Series A</t>
  </si>
  <si>
    <t xml:space="preserve">يعتمد على الأرقام المحققة</t>
  </si>
  <si>
    <t xml:space="preserve">تقييم ما قبل Series A</t>
  </si>
  <si>
    <t xml:space="preserve">2) افتراضات عامة</t>
  </si>
  <si>
    <t xml:space="preserve">تاريخ بداية الشهر الأول</t>
  </si>
  <si>
    <t xml:space="preserve">بداية التأسيس</t>
  </si>
  <si>
    <t xml:space="preserve">شهر الإطلاق (اختبار الكثافة)</t>
  </si>
  <si>
    <t xml:space="preserve">بعد 6 أشهر تطوير</t>
  </si>
  <si>
    <t xml:space="preserve">شهر بدء المحلات الممولة</t>
  </si>
  <si>
    <t xml:space="preserve">مع إطلاق الرياض</t>
  </si>
  <si>
    <t xml:space="preserve">عمولة Apple / Google</t>
  </si>
  <si>
    <t xml:space="preserve">15% لبرنامج الشركات الصغيرة تحت مليون $؛ استخدمنا 30% للتحفظ</t>
  </si>
  <si>
    <t xml:space="preserve">خوادم ثابتة شهرياً</t>
  </si>
  <si>
    <t xml:space="preserve">Nakama + قاعدة بيانات</t>
  </si>
  <si>
    <t xml:space="preserve">تكلفة الخوادم لكل مستخدم نشط شهرياً</t>
  </si>
  <si>
    <t xml:space="preserve">رقابة المحتوى بالذكاء الاصطناعي لكل مستخدم نشط</t>
  </si>
  <si>
    <t xml:space="preserve">أدوات وبرامج لكل عضو فريق شهرياً</t>
  </si>
  <si>
    <t xml:space="preserve">Unity، أدوات AI للبرمجة</t>
  </si>
  <si>
    <t xml:space="preserve">أدوات ثابتة شهرياً</t>
  </si>
  <si>
    <t xml:space="preserve">توليد 3D بالذكاء الاصطناعي، تصميم</t>
  </si>
  <si>
    <t xml:space="preserve">احتياطي طوارئ (% من المصاريف التشغيلية)</t>
  </si>
  <si>
    <t xml:space="preserve">حماية من تقدير التكاليف بأقل من الواقع</t>
  </si>
  <si>
    <t xml:space="preserve">زيادة الرواتب السنوية</t>
  </si>
  <si>
    <t xml:space="preserve">حصة خيارات الموظفين (ESOP)</t>
  </si>
  <si>
    <t xml:space="preserve">معيار السوق 10–15%</t>
  </si>
  <si>
    <t xml:space="preserve">3) مراحل المشروع وميزانية التسويق الشهرية</t>
  </si>
  <si>
    <t xml:space="preserve">المرحلة</t>
  </si>
  <si>
    <t xml:space="preserve">شهر البداية</t>
  </si>
  <si>
    <t xml:space="preserve">تسويق شهرياً</t>
  </si>
  <si>
    <t xml:space="preserve">الوصف</t>
  </si>
  <si>
    <t xml:space="preserve">0. التأسيس والتطوير</t>
  </si>
  <si>
    <t xml:space="preserve">الهوية، صفحة الهبوط، قائمة الانتظار</t>
  </si>
  <si>
    <t xml:space="preserve">1أ. اختبار الكثافة</t>
  </si>
  <si>
    <t xml:space="preserve">جامعة / حي واحد في الرياض</t>
  </si>
  <si>
    <t xml:space="preserve">1ب. إطلاق الرياض</t>
  </si>
  <si>
    <t xml:space="preserve">مؤثرون كبار + إعلانات</t>
  </si>
  <si>
    <t xml:space="preserve">2. التوسع السعودي</t>
  </si>
  <si>
    <t xml:space="preserve">جدة والدمام</t>
  </si>
  <si>
    <t xml:space="preserve">3. الخليج</t>
  </si>
  <si>
    <t xml:space="preserve">الإمارات، الكويت، قطر...</t>
  </si>
  <si>
    <t xml:space="preserve">4) مصاريف إدارية شهرية</t>
  </si>
  <si>
    <t xml:space="preserve">التكلفة الشهرية</t>
  </si>
  <si>
    <t xml:space="preserve">محامٍ (اتفاق شهري)</t>
  </si>
  <si>
    <t xml:space="preserve">محاسب</t>
  </si>
  <si>
    <t xml:space="preserve">مساحة عمل مشتركة</t>
  </si>
  <si>
    <t xml:space="preserve">تأمين</t>
  </si>
  <si>
    <t xml:space="preserve">حسابات المتاجر والنطاقات</t>
  </si>
  <si>
    <t xml:space="preserve">5) تكاليف لمرة واحدة</t>
  </si>
  <si>
    <t xml:space="preserve">الشهر</t>
  </si>
  <si>
    <t xml:space="preserve">التكلفة</t>
  </si>
  <si>
    <t xml:space="preserve">تأسيس الشركة (Delaware + فرع سعودي)</t>
  </si>
  <si>
    <t xml:space="preserve">تسجيل العلامة SocialEarth (SAIP / USPTO / WIPO)</t>
  </si>
  <si>
    <t xml:space="preserve">أجهزة اختبار (آيفون LiDAR + أندرويد)</t>
  </si>
  <si>
    <t xml:space="preserve">التصنيف العمري والامتثال</t>
  </si>
  <si>
    <t xml:space="preserve">أجهزة إضافية</t>
  </si>
  <si>
    <t xml:space="preserve">تدقيق الخصوصية والأمان</t>
  </si>
  <si>
    <t xml:space="preserve">6) التمويل</t>
  </si>
  <si>
    <t xml:space="preserve">الجولة</t>
  </si>
  <si>
    <t xml:space="preserve">المبلغ</t>
  </si>
  <si>
    <t xml:space="preserve">التقييم قبل</t>
  </si>
  <si>
    <t xml:space="preserve">التقييم بعد</t>
  </si>
  <si>
    <t xml:space="preserve">نسبة التخفيف</t>
  </si>
  <si>
    <t xml:space="preserve">رأس مال المؤسس / مستثمرون ملائكة</t>
  </si>
  <si>
    <t xml:space="preserve">تمويل ذاتي – بدون تخفيف (يمكن تحويله إلى SAFE)</t>
  </si>
  <si>
    <t xml:space="preserve">جولة Seed</t>
  </si>
  <si>
    <t xml:space="preserve">جولة Series A</t>
  </si>
  <si>
    <t xml:space="preserve">ملكية المؤسسين بعد الجولات وحصة الموظفين</t>
  </si>
  <si>
    <t xml:space="preserve">SocialEarth – خطة الفريق والرواتب الشهرية (تكلفة كاملة بالدولار)</t>
  </si>
  <si>
    <t xml:space="preserve">← أرقام الأشهر (1 = نوفمبر 2026)</t>
  </si>
  <si>
    <t xml:space="preserve">الدور</t>
  </si>
  <si>
    <t xml:space="preserve">النوع</t>
  </si>
  <si>
    <t xml:space="preserve">شهر النهاية</t>
  </si>
  <si>
    <t xml:space="preserve">المؤسس / المدير التنفيذي</t>
  </si>
  <si>
    <t xml:space="preserve">كامل</t>
  </si>
  <si>
    <t xml:space="preserve">مطوّر Unity قائد (القائد التقني)</t>
  </si>
  <si>
    <t xml:space="preserve">مطوّر خوادم</t>
  </si>
  <si>
    <t xml:space="preserve">فنان 3D مع أدوات AI</t>
  </si>
  <si>
    <t xml:space="preserve">فريلانسر</t>
  </si>
  <si>
    <t xml:space="preserve">مدير مجتمع</t>
  </si>
  <si>
    <t xml:space="preserve">جزئي</t>
  </si>
  <si>
    <t xml:space="preserve">مطوّر Unity 2</t>
  </si>
  <si>
    <t xml:space="preserve">مسؤول الأمان ورقابة المحتوى</t>
  </si>
  <si>
    <t xml:space="preserve">مبيعات الشراكات (المحلات الممولة)</t>
  </si>
  <si>
    <t xml:space="preserve">مطوّر خوادم 2</t>
  </si>
  <si>
    <t xml:space="preserve">مصمم منتج UX</t>
  </si>
  <si>
    <t xml:space="preserve">فنان 3D</t>
  </si>
  <si>
    <t xml:space="preserve">مطوّر Unity 3</t>
  </si>
  <si>
    <t xml:space="preserve">مطوّر خوادم 3</t>
  </si>
  <si>
    <t xml:space="preserve">مدير تسويق</t>
  </si>
  <si>
    <t xml:space="preserve">رقابة محتوى 2</t>
  </si>
  <si>
    <t xml:space="preserve">مدير عمليات ومالية</t>
  </si>
  <si>
    <t xml:space="preserve">إجمالي الرواتب</t>
  </si>
  <si>
    <t xml:space="preserve">عدد أعضاء الفريق</t>
  </si>
  <si>
    <t xml:space="preserve">ملاحظة: الرواتب تقديرية لتوظيف عن بُعد من المنطقة (مصر، الأردن، العراق) وتشمل التكلفة الكاملة. عدّل الأرقام الزرقاء.</t>
  </si>
  <si>
    <t xml:space="preserve">SocialEarth – النموذج الشهري (36 شهراً)</t>
  </si>
  <si>
    <t xml:space="preserve">رقم الشهر</t>
  </si>
  <si>
    <t xml:space="preserve">التاريخ</t>
  </si>
  <si>
    <t xml:space="preserve">السنة</t>
  </si>
  <si>
    <t xml:space="preserve">ميزانية التسويق</t>
  </si>
  <si>
    <t xml:space="preserve">$</t>
  </si>
  <si>
    <t xml:space="preserve">تحميلات مدفوعة</t>
  </si>
  <si>
    <t xml:space="preserve">مستخدم</t>
  </si>
  <si>
    <t xml:space="preserve">تحميلات عضوية (دعوات ومشاركة)</t>
  </si>
  <si>
    <t xml:space="preserve">إجمالي التحميلات الجديدة</t>
  </si>
  <si>
    <t xml:space="preserve">المستخدمون النشطون شهرياً (MAU)</t>
  </si>
  <si>
    <t xml:space="preserve">المستخدمون الدافعون</t>
  </si>
  <si>
    <t xml:space="preserve">الإيرادات</t>
  </si>
  <si>
    <t xml:space="preserve">مشتريات داخل التطبيق (إجمالي)</t>
  </si>
  <si>
    <t xml:space="preserve">عدد المحلات الممولة</t>
  </si>
  <si>
    <t xml:space="preserve">محل</t>
  </si>
  <si>
    <t xml:space="preserve">إيراد المحلات الممولة</t>
  </si>
  <si>
    <t xml:space="preserve">إيراد الفعاليات والعلامات التجارية</t>
  </si>
  <si>
    <t xml:space="preserve">الخوادم</t>
  </si>
  <si>
    <t xml:space="preserve">رقابة المحتوى بالذكاء الاصطناعي</t>
  </si>
  <si>
    <t xml:space="preserve">إجمالي تكلفة الإيرادات</t>
  </si>
  <si>
    <t xml:space="preserve">%</t>
  </si>
  <si>
    <t xml:space="preserve">المصاريف التشغيلية</t>
  </si>
  <si>
    <t xml:space="preserve">الأدوات والبرامج</t>
  </si>
  <si>
    <t xml:space="preserve">مصاريف إدارية</t>
  </si>
  <si>
    <t xml:space="preserve">تكاليف لمرة واحدة</t>
  </si>
  <si>
    <t xml:space="preserve">احتياطي طوارئ</t>
  </si>
  <si>
    <t xml:space="preserve">النقد</t>
  </si>
  <si>
    <t xml:space="preserve">صافي التدفق النقدي</t>
  </si>
  <si>
    <t xml:space="preserve">النقد أول الشهر</t>
  </si>
  <si>
    <t xml:space="preserve">النقد آخر الشهر</t>
  </si>
  <si>
    <t xml:space="preserve">الحرق الشهري</t>
  </si>
  <si>
    <t xml:space="preserve">المدة المتبقية للنقد (أشهر)</t>
  </si>
  <si>
    <t xml:space="preserve">شهر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</si>
</sst>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;\(#,##0\);\-"/>
    <numFmt numFmtId="166" formatCode="\$#,##0;&quot;($&quot;#,##0\);\-"/>
    <numFmt numFmtId="167" formatCode="0.0%;\(0.0%\);\-"/>
    <numFmt numFmtId="168" formatCode="\$#,##0.00;&quot;($&quot;#,##0.00\);\-"/>
    <numFmt numFmtId="169" formatCode="0.0\x;\(0.0&quot;x)&quot;;\-"/>
    <numFmt numFmtId="170" formatCode="mmm\ yyyy"/>
    <numFmt numFmtId="171" formatCode="mmm\ yy"/>
    <numFmt numFmtId="172" formatCode="0.0;\(0.0\)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8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8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595959"/>
      <name val="Arial"/>
      <family val="0"/>
      <charset val="1"/>
    </font>
    <font>
      <i val="true"/>
      <sz val="9"/>
      <name val="Arial"/>
      <family val="0"/>
      <charset val="1"/>
    </font>
    <font>
      <sz val="8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6" min="3" style="0" width="18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B3" s="2" t="s">
        <v>1</v>
      </c>
      <c r="C3" s="3" t="str">
        <f aca="false">الافتراضات!C4</f>
        <v>أساسي</v>
      </c>
      <c r="D3" s="4" t="s">
        <v>2</v>
      </c>
    </row>
    <row r="4" customFormat="false" ht="15" hidden="false" customHeight="false" outlineLevel="0" collapsed="false">
      <c r="C4" s="5" t="s">
        <v>3</v>
      </c>
      <c r="D4" s="5" t="s">
        <v>4</v>
      </c>
      <c r="E4" s="5" t="s">
        <v>5</v>
      </c>
    </row>
    <row r="5" customFormat="false" ht="15" hidden="false" customHeight="false" outlineLevel="0" collapsed="false">
      <c r="B5" s="6" t="s">
        <v>6</v>
      </c>
      <c r="C5" s="6" t="s">
        <v>7</v>
      </c>
      <c r="D5" s="6" t="s">
        <v>8</v>
      </c>
      <c r="E5" s="6" t="s">
        <v>9</v>
      </c>
      <c r="F5" s="6" t="s">
        <v>10</v>
      </c>
    </row>
    <row r="6" customFormat="false" ht="15" hidden="false" customHeight="false" outlineLevel="0" collapsed="false">
      <c r="A6" s="7"/>
      <c r="B6" s="8" t="s">
        <v>11</v>
      </c>
      <c r="C6" s="7"/>
      <c r="D6" s="7"/>
      <c r="E6" s="7"/>
      <c r="F6" s="7"/>
    </row>
    <row r="7" customFormat="false" ht="15" hidden="false" customHeight="false" outlineLevel="0" collapsed="false">
      <c r="B7" s="2" t="s">
        <v>12</v>
      </c>
      <c r="C7" s="9" t="n">
        <f aca="false">INDEX('النموذج الشهري'!$C$13:$AL$13,1,C$50*12)</f>
        <v>8854.225967104</v>
      </c>
      <c r="D7" s="9" t="n">
        <f aca="false">INDEX('النموذج الشهري'!$C$13:$AL$13,1,D$50*12)</f>
        <v>41991.1757121142</v>
      </c>
      <c r="E7" s="9" t="n">
        <f aca="false">INDEX('النموذج الشهري'!$C$13:$AL$13,1,E$50*12)</f>
        <v>128275.609477435</v>
      </c>
    </row>
    <row r="8" customFormat="false" ht="15" hidden="false" customHeight="false" outlineLevel="0" collapsed="false">
      <c r="B8" s="10" t="s">
        <v>13</v>
      </c>
      <c r="C8" s="11" t="n">
        <f aca="false">SUMIF('النموذج الشهري'!$C$5:$AL$5,"السنة "&amp;C$50,'النموذج الشهري'!$C$12:$AL$12)</f>
        <v>29967.8574865067</v>
      </c>
      <c r="D8" s="11" t="n">
        <f aca="false">SUMIF('النموذج الشهري'!$C$5:$AL$5,"السنة "&amp;D$50,'النموذج الشهري'!$C$12:$AL$12)</f>
        <v>156712.385007677</v>
      </c>
      <c r="E8" s="11" t="n">
        <f aca="false">SUMIF('النموذج الشهري'!$C$5:$AL$5,"السنة "&amp;E$50,'النموذج الشهري'!$C$12:$AL$12)</f>
        <v>482639.332668738</v>
      </c>
      <c r="F8" s="12" t="n">
        <f aca="false">SUM(C8:E8)</f>
        <v>669319.575162921</v>
      </c>
    </row>
    <row r="9" customFormat="false" ht="15" hidden="false" customHeight="false" outlineLevel="0" collapsed="false">
      <c r="A9" s="7"/>
      <c r="B9" s="8" t="s">
        <v>14</v>
      </c>
      <c r="C9" s="7"/>
      <c r="D9" s="7"/>
      <c r="E9" s="7"/>
      <c r="F9" s="7"/>
    </row>
    <row r="10" customFormat="false" ht="15" hidden="false" customHeight="false" outlineLevel="0" collapsed="false">
      <c r="B10" s="10" t="s">
        <v>15</v>
      </c>
      <c r="C10" s="13" t="n">
        <f aca="false">SUMIF('النموذج الشهري'!$C$5:$AL$5,"السنة "&amp;C$50,'النموذج الشهري'!$C$17:$AL$17)</f>
        <v>5857.15557635414</v>
      </c>
      <c r="D10" s="13" t="n">
        <f aca="false">SUMIF('النموذج الشهري'!$C$5:$AL$5,"السنة "&amp;D$50,'النموذج الشهري'!$C$17:$AL$17)</f>
        <v>60908.3524681935</v>
      </c>
      <c r="E10" s="13" t="n">
        <f aca="false">SUMIF('النموذج الشهري'!$C$5:$AL$5,"السنة "&amp;E$50,'النموذج الشهري'!$C$17:$AL$17)</f>
        <v>223855.218424909</v>
      </c>
      <c r="F10" s="14" t="n">
        <f aca="false">SUM(C10:E10)</f>
        <v>290620.726469457</v>
      </c>
    </row>
    <row r="11" customFormat="false" ht="15" hidden="false" customHeight="false" outlineLevel="0" collapsed="false">
      <c r="B11" s="10" t="s">
        <v>16</v>
      </c>
      <c r="C11" s="13" t="n">
        <f aca="false">SUMIF('النموذج الشهري'!$C$5:$AL$5,"السنة "&amp;C$50,'النموذج الشهري'!$C$19:$AL$19)</f>
        <v>1344.42667290624</v>
      </c>
      <c r="D11" s="13" t="n">
        <f aca="false">SUMIF('النموذج الشهري'!$C$5:$AL$5,"السنة "&amp;D$50,'النموذج الشهري'!$C$19:$AL$19)</f>
        <v>18272.5057404581</v>
      </c>
      <c r="E11" s="13" t="n">
        <f aca="false">SUMIF('النموذج الشهري'!$C$5:$AL$5,"السنة "&amp;E$50,'النموذج الشهري'!$C$19:$AL$19)</f>
        <v>67156.5655274727</v>
      </c>
      <c r="F11" s="14" t="n">
        <f aca="false">SUM(C11:E11)</f>
        <v>86773.497940837</v>
      </c>
    </row>
    <row r="12" customFormat="false" ht="15" hidden="false" customHeight="false" outlineLevel="0" collapsed="false">
      <c r="B12" s="10" t="s">
        <v>17</v>
      </c>
      <c r="C12" s="13" t="n">
        <f aca="false">SUMIF('النموذج الشهري'!$C$5:$AL$5,"السنة "&amp;C$50,'النموذج الشهري'!$C$20:$AL$20)</f>
        <v>585.715557635414</v>
      </c>
      <c r="D12" s="13" t="n">
        <f aca="false">SUMIF('النموذج الشهري'!$C$5:$AL$5,"السنة "&amp;D$50,'النموذج الشهري'!$C$20:$AL$20)</f>
        <v>6090.83524681935</v>
      </c>
      <c r="E12" s="13" t="n">
        <f aca="false">SUMIF('النموذج الشهري'!$C$5:$AL$5,"السنة "&amp;E$50,'النموذج الشهري'!$C$20:$AL$20)</f>
        <v>22385.5218424909</v>
      </c>
      <c r="F12" s="14" t="n">
        <f aca="false">SUM(C12:E12)</f>
        <v>29062.0726469457</v>
      </c>
    </row>
    <row r="13" customFormat="false" ht="15" hidden="false" customHeight="false" outlineLevel="0" collapsed="false">
      <c r="B13" s="2" t="s">
        <v>18</v>
      </c>
      <c r="C13" s="15" t="n">
        <f aca="false">SUMIF('النموذج الشهري'!$C$5:$AL$5,"السنة "&amp;C$50,'النموذج الشهري'!$C$21:$AL$21)</f>
        <v>7787.29780689579</v>
      </c>
      <c r="D13" s="15" t="n">
        <f aca="false">SUMIF('النموذج الشهري'!$C$5:$AL$5,"السنة "&amp;D$50,'النموذج الشهري'!$C$21:$AL$21)</f>
        <v>85271.6934554709</v>
      </c>
      <c r="E13" s="15" t="n">
        <f aca="false">SUMIF('النموذج الشهري'!$C$5:$AL$5,"السنة "&amp;E$50,'النموذج الشهري'!$C$21:$AL$21)</f>
        <v>313397.305794873</v>
      </c>
      <c r="F13" s="16" t="n">
        <f aca="false">SUM(C13:E13)</f>
        <v>406456.297057239</v>
      </c>
    </row>
    <row r="14" customFormat="false" ht="15" hidden="false" customHeight="false" outlineLevel="0" collapsed="false">
      <c r="B14" s="10" t="s">
        <v>19</v>
      </c>
      <c r="C14" s="13" t="n">
        <f aca="false">SUMIF('النموذج الشهري'!$C$5:$AL$5,"السنة "&amp;C$50,'النموذج الشهري'!$C$27:$AL$27)</f>
        <v>6528.57778817707</v>
      </c>
      <c r="D14" s="13" t="n">
        <f aca="false">SUMIF('النموذج الشهري'!$C$5:$AL$5,"السنة "&amp;D$50,'النموذج الشهري'!$C$27:$AL$27)</f>
        <v>34054.1762340968</v>
      </c>
      <c r="E14" s="13" t="n">
        <f aca="false">SUMIF('النموذج الشهري'!$C$5:$AL$5,"السنة "&amp;E$50,'النموذج الشهري'!$C$27:$AL$27)</f>
        <v>115527.609212454</v>
      </c>
      <c r="F14" s="14" t="n">
        <f aca="false">SUM(C14:E14)</f>
        <v>156110.363234728</v>
      </c>
    </row>
    <row r="15" customFormat="false" ht="15" hidden="false" customHeight="false" outlineLevel="0" collapsed="false">
      <c r="B15" s="2" t="s">
        <v>20</v>
      </c>
      <c r="C15" s="15" t="n">
        <f aca="false">SUMIF('النموذج الشهري'!$C$5:$AL$5,"السنة "&amp;C$50,'النموذج الشهري'!$C$28:$AL$28)</f>
        <v>1258.72001871872</v>
      </c>
      <c r="D15" s="15" t="n">
        <f aca="false">SUMIF('النموذج الشهري'!$C$5:$AL$5,"السنة "&amp;D$50,'النموذج الشهري'!$C$28:$AL$28)</f>
        <v>51217.5172213742</v>
      </c>
      <c r="E15" s="15" t="n">
        <f aca="false">SUMIF('النموذج الشهري'!$C$5:$AL$5,"السنة "&amp;E$50,'النموذج الشهري'!$C$28:$AL$28)</f>
        <v>197869.696582418</v>
      </c>
      <c r="F15" s="16" t="n">
        <f aca="false">SUM(C15:E15)</f>
        <v>250345.933822511</v>
      </c>
    </row>
    <row r="16" customFormat="false" ht="15" hidden="false" customHeight="false" outlineLevel="0" collapsed="false">
      <c r="B16" s="10" t="s">
        <v>21</v>
      </c>
      <c r="C16" s="13" t="n">
        <f aca="false">SUMIF('النموذج الشهري'!$C$5:$AL$5,"السنة "&amp;C$50,'النموذج الشهري'!$C$32:$AL$32)</f>
        <v>147800</v>
      </c>
      <c r="D16" s="13" t="n">
        <f aca="false">SUMIF('النموذج الشهري'!$C$5:$AL$5,"السنة "&amp;D$50,'النموذج الشهري'!$C$32:$AL$32)</f>
        <v>422100</v>
      </c>
      <c r="E16" s="13" t="n">
        <f aca="false">SUMIF('النموذج الشهري'!$C$5:$AL$5,"السنة "&amp;E$50,'النموذج الشهري'!$C$32:$AL$32)</f>
        <v>694575</v>
      </c>
      <c r="F16" s="14" t="n">
        <f aca="false">SUM(C16:E16)</f>
        <v>1264475</v>
      </c>
    </row>
    <row r="17" customFormat="false" ht="15" hidden="false" customHeight="false" outlineLevel="0" collapsed="false">
      <c r="B17" s="10" t="s">
        <v>22</v>
      </c>
      <c r="C17" s="13" t="n">
        <f aca="false">SUMIF('النموذج الشهري'!$C$5:$AL$5,"السنة "&amp;C$50,'النموذج الشهري'!$C$33:$AL$33)</f>
        <v>44600</v>
      </c>
      <c r="D17" s="13" t="n">
        <f aca="false">SUMIF('النموذج الشهري'!$C$5:$AL$5,"السنة "&amp;D$50,'النموذج الشهري'!$C$33:$AL$33)</f>
        <v>202500</v>
      </c>
      <c r="E17" s="13" t="n">
        <f aca="false">SUMIF('النموذج الشهري'!$C$5:$AL$5,"السنة "&amp;E$50,'النموذج الشهري'!$C$33:$AL$33)</f>
        <v>600000</v>
      </c>
      <c r="F17" s="14" t="n">
        <f aca="false">SUM(C17:E17)</f>
        <v>847100</v>
      </c>
    </row>
    <row r="18" customFormat="false" ht="15" hidden="false" customHeight="false" outlineLevel="0" collapsed="false">
      <c r="B18" s="10" t="s">
        <v>23</v>
      </c>
      <c r="C18" s="13" t="n">
        <f aca="false">SUMIF('النموذج الشهري'!$C$5:$AL$5,"السنة "&amp;C$50,'النموذج الشهري'!$C$34:$AL$34)+SUMIF('النموذج الشهري'!$C$5:$AL$5,"السنة "&amp;C$50,'النموذج الشهري'!$C$35:$AL$35)+SUMIF('النموذج الشهري'!$C$5:$AL$5,"السنة "&amp;C$50,'النموذج الشهري'!$C$36:$AL$36)+SUMIF('النموذج الشهري'!$C$5:$AL$5,"السنة "&amp;C$50,'النموذج الشهري'!$C$37:$AL$37)</f>
        <v>68240</v>
      </c>
      <c r="D18" s="13" t="n">
        <f aca="false">SUMIF('النموذج الشهري'!$C$5:$AL$5,"السنة "&amp;D$50,'النموذج الشهري'!$C$34:$AL$34)+SUMIF('النموذج الشهري'!$C$5:$AL$5,"السنة "&amp;D$50,'النموذج الشهري'!$C$35:$AL$35)+SUMIF('النموذج الشهري'!$C$5:$AL$5,"السنة "&amp;D$50,'النموذج الشهري'!$C$36:$AL$36)+SUMIF('النموذج الشهري'!$C$5:$AL$5,"السنة "&amp;D$50,'النموذج الشهري'!$C$37:$AL$37)</f>
        <v>101170</v>
      </c>
      <c r="E18" s="13" t="n">
        <f aca="false">SUMIF('النموذج الشهري'!$C$5:$AL$5,"السنة "&amp;E$50,'النموذج الشهري'!$C$34:$AL$34)+SUMIF('النموذج الشهري'!$C$5:$AL$5,"السنة "&amp;E$50,'النموذج الشهري'!$C$35:$AL$35)+SUMIF('النموذج الشهري'!$C$5:$AL$5,"السنة "&amp;E$50,'النموذج الشهري'!$C$36:$AL$36)+SUMIF('النموذج الشهري'!$C$5:$AL$5,"السنة "&amp;E$50,'النموذج الشهري'!$C$37:$AL$37)</f>
        <v>132817.5</v>
      </c>
      <c r="F18" s="14" t="n">
        <f aca="false">SUM(C18:E18)</f>
        <v>302227.5</v>
      </c>
    </row>
    <row r="19" customFormat="false" ht="15" hidden="false" customHeight="false" outlineLevel="0" collapsed="false">
      <c r="B19" s="10" t="s">
        <v>24</v>
      </c>
      <c r="C19" s="13" t="n">
        <f aca="false">SUMIF('النموذج الشهري'!$C$5:$AL$5,"السنة "&amp;C$50,'النموذج الشهري'!$C$38:$AL$38)</f>
        <v>260640</v>
      </c>
      <c r="D19" s="13" t="n">
        <f aca="false">SUMIF('النموذج الشهري'!$C$5:$AL$5,"السنة "&amp;D$50,'النموذج الشهري'!$C$38:$AL$38)</f>
        <v>725770</v>
      </c>
      <c r="E19" s="13" t="n">
        <f aca="false">SUMIF('النموذج الشهري'!$C$5:$AL$5,"السنة "&amp;E$50,'النموذج الشهري'!$C$38:$AL$38)</f>
        <v>1427392.5</v>
      </c>
      <c r="F19" s="14" t="n">
        <f aca="false">SUM(C19:E19)</f>
        <v>2413802.5</v>
      </c>
    </row>
    <row r="20" customFormat="false" ht="15" hidden="false" customHeight="false" outlineLevel="0" collapsed="false">
      <c r="B20" s="2" t="s">
        <v>25</v>
      </c>
      <c r="C20" s="15" t="n">
        <f aca="false">SUMIF('النموذج الشهري'!$C$5:$AL$5,"السنة "&amp;C$50,'النموذج الشهري'!$C$39:$AL$39)</f>
        <v>-259381.279981281</v>
      </c>
      <c r="D20" s="15" t="n">
        <f aca="false">SUMIF('النموذج الشهري'!$C$5:$AL$5,"السنة "&amp;D$50,'النموذج الشهري'!$C$39:$AL$39)</f>
        <v>-674552.482778626</v>
      </c>
      <c r="E20" s="15" t="n">
        <f aca="false">SUMIF('النموذج الشهري'!$C$5:$AL$5,"السنة "&amp;E$50,'النموذج الشهري'!$C$39:$AL$39)</f>
        <v>-1229522.80341758</v>
      </c>
      <c r="F20" s="16" t="n">
        <f aca="false">SUM(C20:E20)</f>
        <v>-2163456.56617749</v>
      </c>
    </row>
    <row r="21" customFormat="false" ht="15" hidden="false" customHeight="false" outlineLevel="0" collapsed="false">
      <c r="A21" s="7"/>
      <c r="B21" s="8" t="s">
        <v>26</v>
      </c>
      <c r="C21" s="7"/>
      <c r="D21" s="7"/>
      <c r="E21" s="7"/>
      <c r="F21" s="7"/>
    </row>
    <row r="22" customFormat="false" ht="15" hidden="false" customHeight="false" outlineLevel="0" collapsed="false">
      <c r="B22" s="10" t="s">
        <v>27</v>
      </c>
      <c r="C22" s="13" t="n">
        <f aca="false">SUMIF('النموذج الشهري'!$C$5:$AL$5,"السنة "&amp;C$50,'النموذج الشهري'!$C$42:$AL$42)</f>
        <v>1200000</v>
      </c>
      <c r="D22" s="13" t="n">
        <f aca="false">SUMIF('النموذج الشهري'!$C$5:$AL$5,"السنة "&amp;D$50,'النموذج الشهري'!$C$42:$AL$42)</f>
        <v>0</v>
      </c>
      <c r="E22" s="13" t="n">
        <f aca="false">SUMIF('النموذج الشهري'!$C$5:$AL$5,"السنة "&amp;E$50,'النموذج الشهري'!$C$42:$AL$42)</f>
        <v>5000000</v>
      </c>
      <c r="F22" s="14" t="n">
        <f aca="false">SUM(C22:E22)</f>
        <v>6200000</v>
      </c>
    </row>
    <row r="23" customFormat="false" ht="15" hidden="false" customHeight="false" outlineLevel="0" collapsed="false">
      <c r="B23" s="2" t="s">
        <v>28</v>
      </c>
      <c r="C23" s="15" t="n">
        <f aca="false">INDEX('النموذج الشهري'!$C$45:$AL$45,1,C$50*12)</f>
        <v>940618.720018719</v>
      </c>
      <c r="D23" s="15" t="n">
        <f aca="false">INDEX('النموذج الشهري'!$C$45:$AL$45,1,D$50*12)</f>
        <v>266066.237240093</v>
      </c>
      <c r="E23" s="15" t="n">
        <f aca="false">INDEX('النموذج الشهري'!$C$45:$AL$45,1,E$50*12)</f>
        <v>4036543.43382251</v>
      </c>
    </row>
    <row r="24" customFormat="false" ht="15" hidden="false" customHeight="false" outlineLevel="0" collapsed="false">
      <c r="B24" s="10" t="s">
        <v>29</v>
      </c>
      <c r="C24" s="11" t="n">
        <f aca="false">INDEX(الفريق!$G$23:$AP$23,1,C$50*12)</f>
        <v>8</v>
      </c>
      <c r="D24" s="11" t="n">
        <f aca="false">INDEX(الفريق!$G$23:$AP$23,1,D$50*12)</f>
        <v>10</v>
      </c>
      <c r="E24" s="11" t="n">
        <f aca="false">INDEX(الفريق!$G$23:$AP$23,1,E$50*12)</f>
        <v>15</v>
      </c>
    </row>
    <row r="26" customFormat="false" ht="15" hidden="false" customHeight="false" outlineLevel="0" collapsed="false">
      <c r="A26" s="7"/>
      <c r="B26" s="8" t="s">
        <v>30</v>
      </c>
      <c r="C26" s="7"/>
      <c r="D26" s="7"/>
      <c r="E26" s="7"/>
      <c r="F26" s="7"/>
    </row>
    <row r="27" customFormat="false" ht="15" hidden="false" customHeight="false" outlineLevel="0" collapsed="false">
      <c r="B27" s="10" t="s">
        <v>31</v>
      </c>
      <c r="D27" s="17" t="n">
        <f aca="false">IF(C13&gt;0,D13/C13-1,0)</f>
        <v>9.95010048029258</v>
      </c>
      <c r="E27" s="17" t="n">
        <f aca="false">IF(D13&gt;0,E13/D13-1,0)</f>
        <v>2.67527948719031</v>
      </c>
    </row>
    <row r="28" customFormat="false" ht="15" hidden="false" customHeight="false" outlineLevel="0" collapsed="false">
      <c r="B28" s="10" t="s">
        <v>32</v>
      </c>
      <c r="C28" s="17" t="n">
        <f aca="false">IF(C13&gt;0,C15/C13,0)</f>
        <v>0.161637585967767</v>
      </c>
      <c r="D28" s="17" t="n">
        <f aca="false">IF(D13&gt;0,D15/D13,0)</f>
        <v>0.600639147012133</v>
      </c>
      <c r="E28" s="17" t="n">
        <f aca="false">IF(E13&gt;0,E15/E13,0)</f>
        <v>0.631370126429643</v>
      </c>
    </row>
    <row r="29" customFormat="false" ht="15" hidden="false" customHeight="false" outlineLevel="0" collapsed="false">
      <c r="B29" s="10" t="s">
        <v>33</v>
      </c>
      <c r="C29" s="18" t="n">
        <f aca="false">IF(C8&gt;0,C17/C8,0)</f>
        <v>1.48826121520638</v>
      </c>
      <c r="D29" s="18" t="n">
        <f aca="false">IF(D8&gt;0,D17/D8,0)</f>
        <v>1.29217610969344</v>
      </c>
      <c r="E29" s="18" t="n">
        <f aca="false">IF(E8&gt;0,E17/E8,0)</f>
        <v>1.24316432455333</v>
      </c>
    </row>
    <row r="30" customFormat="false" ht="15" hidden="false" customHeight="false" outlineLevel="0" collapsed="false">
      <c r="B30" s="10" t="s">
        <v>34</v>
      </c>
      <c r="C30" s="18" t="n">
        <f aca="false">IF(C8&gt;0,C17/(C8*الافتراضات!$F$10),0)</f>
        <v>4.25217490058966</v>
      </c>
      <c r="D30" s="18" t="n">
        <f aca="false">IF(D8&gt;0,D17/(D8*الافتراضات!$F$10),0)</f>
        <v>3.69193174198126</v>
      </c>
      <c r="E30" s="18" t="n">
        <f aca="false">IF(E8&gt;0,E17/(E8*الافتراضات!$F$10),0)</f>
        <v>3.55189807015236</v>
      </c>
    </row>
    <row r="31" customFormat="false" ht="15" hidden="false" customHeight="false" outlineLevel="0" collapsed="false">
      <c r="B31" s="10" t="s">
        <v>35</v>
      </c>
      <c r="C31" s="18" t="n">
        <f aca="false">IFERROR(C13/SUMIF('النموذج الشهري'!$C$5:$AL$5,"السنة "&amp;C$50,'النموذج الشهري'!$C$13:$AL$13),0)</f>
        <v>0.265907152554862</v>
      </c>
      <c r="D31" s="18" t="n">
        <f aca="false">IFERROR(D13/SUMIF('النموذج الشهري'!$C$5:$AL$5,"السنة "&amp;D$50,'النموذج الشهري'!$C$13:$AL$13),0)</f>
        <v>0.28</v>
      </c>
      <c r="E31" s="18" t="n">
        <f aca="false">IFERROR(E13/SUMIF('النموذج الشهري'!$C$5:$AL$5,"السنة "&amp;E$50,'النموذج الشهري'!$C$13:$AL$13),0)</f>
        <v>0.28</v>
      </c>
    </row>
    <row r="32" customFormat="false" ht="15" hidden="false" customHeight="false" outlineLevel="0" collapsed="false">
      <c r="B32" s="10" t="s">
        <v>36</v>
      </c>
      <c r="C32" s="18" t="n">
        <f aca="false">IF(الافتراضات!$F$11&gt;0,C31*C28/الافتراضات!$F$11,0)</f>
        <v>0.537257377881632</v>
      </c>
      <c r="D32" s="18" t="n">
        <f aca="false">IF(الافتراضات!$F$11&gt;0,D31*D28/الافتراضات!$F$11,0)</f>
        <v>2.10223701454247</v>
      </c>
      <c r="E32" s="18" t="n">
        <f aca="false">IF(الافتراضات!$F$11&gt;0,E31*E28/الافتراضات!$F$11,0)</f>
        <v>2.20979544250375</v>
      </c>
    </row>
    <row r="33" customFormat="false" ht="15" hidden="false" customHeight="false" outlineLevel="0" collapsed="false">
      <c r="B33" s="10" t="s">
        <v>37</v>
      </c>
      <c r="C33" s="19" t="n">
        <f aca="false">IF(C30&gt;0,C32/C30,0)</f>
        <v>0.126348842755064</v>
      </c>
      <c r="D33" s="19" t="n">
        <f aca="false">IF(D30&gt;0,D32/D30,0)</f>
        <v>0.569413835753722</v>
      </c>
      <c r="E33" s="19" t="n">
        <f aca="false">IF(E30&gt;0,E32/E30,0)</f>
        <v>0.622144948660916</v>
      </c>
    </row>
    <row r="35" customFormat="false" ht="15" hidden="false" customHeight="false" outlineLevel="0" collapsed="false">
      <c r="A35" s="7"/>
      <c r="B35" s="8" t="s">
        <v>38</v>
      </c>
      <c r="C35" s="7"/>
      <c r="D35" s="7"/>
      <c r="E35" s="7"/>
      <c r="F35" s="7"/>
    </row>
    <row r="36" customFormat="false" ht="15" hidden="false" customHeight="false" outlineLevel="0" collapsed="false">
      <c r="B36" s="2" t="s">
        <v>39</v>
      </c>
      <c r="C36" s="20" t="n">
        <f aca="false">MIN('النموذج الشهري'!C45:AL45)</f>
        <v>11741.05568</v>
      </c>
      <c r="D36" s="2" t="str">
        <f aca="false">IF(C36&lt;0,"⚠ عجز – يلزم تمويل إضافي أو تقليل المصاريف","✓ التمويل كافٍ")</f>
        <v>✓ التمويل كافٍ</v>
      </c>
    </row>
    <row r="37" customFormat="false" ht="15" hidden="false" customHeight="false" outlineLevel="0" collapsed="false">
      <c r="B37" s="10" t="s">
        <v>40</v>
      </c>
      <c r="C37" s="13" t="n">
        <f aca="false">MAX('النموذج الشهري'!C46:AL46)</f>
        <v>109984.000776485</v>
      </c>
    </row>
    <row r="38" customFormat="false" ht="15" hidden="false" customHeight="false" outlineLevel="0" collapsed="false">
      <c r="B38" s="10" t="s">
        <v>41</v>
      </c>
      <c r="C38" s="21" t="n">
        <f aca="false">الافتراضات!G64</f>
        <v>0.576</v>
      </c>
    </row>
    <row r="40" customFormat="false" ht="15" hidden="false" customHeight="false" outlineLevel="0" collapsed="false">
      <c r="B40" s="2" t="s">
        <v>42</v>
      </c>
    </row>
    <row r="41" customFormat="false" ht="15" hidden="false" customHeight="false" outlineLevel="0" collapsed="false">
      <c r="B41" s="10" t="s">
        <v>43</v>
      </c>
    </row>
    <row r="42" customFormat="false" ht="15" hidden="false" customHeight="false" outlineLevel="0" collapsed="false">
      <c r="B42" s="10" t="s">
        <v>44</v>
      </c>
    </row>
    <row r="43" customFormat="false" ht="15" hidden="false" customHeight="false" outlineLevel="0" collapsed="false">
      <c r="B43" s="10" t="s">
        <v>45</v>
      </c>
    </row>
    <row r="50" customFormat="false" ht="15" hidden="false" customHeight="false" outlineLevel="0" collapsed="false">
      <c r="C50" s="22" t="n">
        <v>1</v>
      </c>
      <c r="D50" s="22" t="n">
        <v>2</v>
      </c>
      <c r="E50" s="22" t="n">
        <v>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6" min="3" style="0" width="16"/>
    <col collapsed="false" customWidth="true" hidden="false" outlineLevel="0" max="7" min="7" style="0" width="60"/>
  </cols>
  <sheetData>
    <row r="1" customFormat="false" ht="25.5" hidden="false" customHeight="true" outlineLevel="0" collapsed="false">
      <c r="A1" s="1" t="s">
        <v>46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B2" s="4" t="s">
        <v>47</v>
      </c>
    </row>
    <row r="4" customFormat="false" ht="15" hidden="false" customHeight="false" outlineLevel="0" collapsed="false">
      <c r="B4" s="2" t="s">
        <v>48</v>
      </c>
      <c r="C4" s="23" t="s">
        <v>49</v>
      </c>
      <c r="D4" s="10" t="n">
        <f aca="false">MATCH(C4,$C$7:$E$7,0)</f>
        <v>2</v>
      </c>
      <c r="E4" s="4" t="s">
        <v>50</v>
      </c>
    </row>
    <row r="6" customFormat="false" ht="15" hidden="false" customHeight="false" outlineLevel="0" collapsed="false">
      <c r="A6" s="7"/>
      <c r="B6" s="8" t="s">
        <v>51</v>
      </c>
      <c r="C6" s="7"/>
      <c r="D6" s="7"/>
      <c r="E6" s="7"/>
      <c r="F6" s="7"/>
      <c r="G6" s="7"/>
    </row>
    <row r="7" customFormat="false" ht="15" hidden="false" customHeight="false" outlineLevel="0" collapsed="false">
      <c r="B7" s="6" t="s">
        <v>6</v>
      </c>
      <c r="C7" s="6" t="s">
        <v>52</v>
      </c>
      <c r="D7" s="6" t="s">
        <v>49</v>
      </c>
      <c r="E7" s="6" t="s">
        <v>53</v>
      </c>
      <c r="F7" s="6" t="s">
        <v>54</v>
      </c>
      <c r="G7" s="6" t="s">
        <v>55</v>
      </c>
    </row>
    <row r="8" customFormat="false" ht="15" hidden="false" customHeight="false" outlineLevel="0" collapsed="false">
      <c r="B8" s="10" t="s">
        <v>56</v>
      </c>
      <c r="C8" s="24" t="n">
        <v>2.5</v>
      </c>
      <c r="D8" s="25" t="n">
        <v>1.5</v>
      </c>
      <c r="E8" s="24" t="n">
        <v>1</v>
      </c>
      <c r="F8" s="26" t="n">
        <f aca="false">INDEX(C8:E8,1,$D$4)</f>
        <v>1.5</v>
      </c>
      <c r="G8" s="27" t="s">
        <v>57</v>
      </c>
    </row>
    <row r="9" customFormat="false" ht="15" hidden="false" customHeight="false" outlineLevel="0" collapsed="false">
      <c r="B9" s="10" t="s">
        <v>58</v>
      </c>
      <c r="C9" s="28" t="n">
        <v>0.04</v>
      </c>
      <c r="D9" s="29" t="n">
        <v>0.08</v>
      </c>
      <c r="E9" s="28" t="n">
        <v>0.14</v>
      </c>
      <c r="F9" s="30" t="n">
        <f aca="false">INDEX(C9:E9,1,$D$4)</f>
        <v>0.08</v>
      </c>
      <c r="G9" s="27" t="s">
        <v>59</v>
      </c>
    </row>
    <row r="10" customFormat="false" ht="15" hidden="false" customHeight="false" outlineLevel="0" collapsed="false">
      <c r="B10" s="10" t="s">
        <v>60</v>
      </c>
      <c r="C10" s="28" t="n">
        <v>0.22</v>
      </c>
      <c r="D10" s="29" t="n">
        <v>0.35</v>
      </c>
      <c r="E10" s="28" t="n">
        <v>0.45</v>
      </c>
      <c r="F10" s="30" t="n">
        <f aca="false">INDEX(C10:E10,1,$D$4)</f>
        <v>0.35</v>
      </c>
      <c r="G10" s="27" t="s">
        <v>61</v>
      </c>
    </row>
    <row r="11" customFormat="false" ht="15" hidden="false" customHeight="false" outlineLevel="0" collapsed="false">
      <c r="B11" s="10" t="s">
        <v>62</v>
      </c>
      <c r="C11" s="28" t="n">
        <v>0.12</v>
      </c>
      <c r="D11" s="29" t="n">
        <v>0.08</v>
      </c>
      <c r="E11" s="28" t="n">
        <v>0.05</v>
      </c>
      <c r="F11" s="30" t="n">
        <f aca="false">INDEX(C11:E11,1,$D$4)</f>
        <v>0.08</v>
      </c>
      <c r="G11" s="27" t="s">
        <v>63</v>
      </c>
    </row>
    <row r="12" customFormat="false" ht="15" hidden="false" customHeight="false" outlineLevel="0" collapsed="false">
      <c r="B12" s="10" t="s">
        <v>64</v>
      </c>
      <c r="C12" s="28" t="n">
        <v>0.015</v>
      </c>
      <c r="D12" s="29" t="n">
        <v>0.025</v>
      </c>
      <c r="E12" s="28" t="n">
        <v>0.04</v>
      </c>
      <c r="F12" s="30" t="n">
        <f aca="false">INDEX(C12:E12,1,$D$4)</f>
        <v>0.025</v>
      </c>
      <c r="G12" s="27" t="s">
        <v>65</v>
      </c>
    </row>
    <row r="13" customFormat="false" ht="15" hidden="false" customHeight="false" outlineLevel="0" collapsed="false">
      <c r="B13" s="10" t="s">
        <v>66</v>
      </c>
      <c r="C13" s="24" t="n">
        <v>5</v>
      </c>
      <c r="D13" s="25" t="n">
        <v>8</v>
      </c>
      <c r="E13" s="24" t="n">
        <v>12</v>
      </c>
      <c r="F13" s="26" t="n">
        <f aca="false">INDEX(C13:E13,1,$D$4)</f>
        <v>8</v>
      </c>
      <c r="G13" s="27" t="s">
        <v>67</v>
      </c>
    </row>
    <row r="14" customFormat="false" ht="15" hidden="false" customHeight="false" outlineLevel="0" collapsed="false">
      <c r="B14" s="10" t="s">
        <v>68</v>
      </c>
      <c r="C14" s="31" t="n">
        <v>4000</v>
      </c>
      <c r="D14" s="32" t="n">
        <v>2500</v>
      </c>
      <c r="E14" s="31" t="n">
        <v>1500</v>
      </c>
      <c r="F14" s="33" t="n">
        <f aca="false">INDEX(C14:E14,1,$D$4)</f>
        <v>2500</v>
      </c>
      <c r="G14" s="27" t="s">
        <v>69</v>
      </c>
    </row>
    <row r="15" customFormat="false" ht="15" hidden="false" customHeight="false" outlineLevel="0" collapsed="false">
      <c r="B15" s="10" t="s">
        <v>70</v>
      </c>
      <c r="C15" s="34" t="n">
        <v>100</v>
      </c>
      <c r="D15" s="35" t="n">
        <v>150</v>
      </c>
      <c r="E15" s="34" t="n">
        <v>250</v>
      </c>
      <c r="F15" s="16" t="n">
        <f aca="false">INDEX(C15:E15,1,$D$4)</f>
        <v>150</v>
      </c>
      <c r="G15" s="27" t="s">
        <v>71</v>
      </c>
    </row>
    <row r="16" customFormat="false" ht="15" hidden="false" customHeight="false" outlineLevel="0" collapsed="false">
      <c r="B16" s="10" t="s">
        <v>72</v>
      </c>
      <c r="C16" s="24" t="n">
        <v>0.01</v>
      </c>
      <c r="D16" s="25" t="n">
        <v>0.02</v>
      </c>
      <c r="E16" s="24" t="n">
        <v>0.04</v>
      </c>
      <c r="F16" s="26" t="n">
        <f aca="false">INDEX(C16:E16,1,$D$4)</f>
        <v>0.02</v>
      </c>
      <c r="G16" s="27" t="s">
        <v>63</v>
      </c>
    </row>
    <row r="17" customFormat="false" ht="15" hidden="false" customHeight="false" outlineLevel="0" collapsed="false">
      <c r="B17" s="10" t="s">
        <v>73</v>
      </c>
      <c r="C17" s="34" t="n">
        <v>3000000</v>
      </c>
      <c r="D17" s="35" t="n">
        <v>5000000</v>
      </c>
      <c r="E17" s="34" t="n">
        <v>8000000</v>
      </c>
      <c r="F17" s="16" t="n">
        <f aca="false">INDEX(C17:E17,1,$D$4)</f>
        <v>5000000</v>
      </c>
      <c r="G17" s="27" t="s">
        <v>74</v>
      </c>
    </row>
    <row r="18" customFormat="false" ht="15" hidden="false" customHeight="false" outlineLevel="0" collapsed="false">
      <c r="B18" s="10" t="s">
        <v>75</v>
      </c>
      <c r="C18" s="34" t="n">
        <v>12000000</v>
      </c>
      <c r="D18" s="35" t="n">
        <v>20000000</v>
      </c>
      <c r="E18" s="34" t="n">
        <v>35000000</v>
      </c>
      <c r="F18" s="16" t="n">
        <f aca="false">INDEX(C18:E18,1,$D$4)</f>
        <v>20000000</v>
      </c>
      <c r="G18" s="27" t="s">
        <v>63</v>
      </c>
    </row>
    <row r="20" customFormat="false" ht="15" hidden="false" customHeight="false" outlineLevel="0" collapsed="false">
      <c r="A20" s="7"/>
      <c r="B20" s="8" t="s">
        <v>76</v>
      </c>
      <c r="C20" s="7"/>
      <c r="D20" s="7"/>
      <c r="E20" s="7"/>
      <c r="F20" s="7"/>
      <c r="G20" s="7"/>
    </row>
    <row r="21" customFormat="false" ht="15" hidden="false" customHeight="false" outlineLevel="0" collapsed="false">
      <c r="B21" s="10" t="s">
        <v>77</v>
      </c>
      <c r="C21" s="36" t="n">
        <v>46327</v>
      </c>
      <c r="D21" s="27" t="s">
        <v>78</v>
      </c>
    </row>
    <row r="22" customFormat="false" ht="15" hidden="false" customHeight="false" outlineLevel="0" collapsed="false">
      <c r="B22" s="10" t="s">
        <v>79</v>
      </c>
      <c r="C22" s="31" t="n">
        <v>8</v>
      </c>
      <c r="D22" s="27" t="s">
        <v>80</v>
      </c>
    </row>
    <row r="23" customFormat="false" ht="15" hidden="false" customHeight="false" outlineLevel="0" collapsed="false">
      <c r="B23" s="10" t="s">
        <v>81</v>
      </c>
      <c r="C23" s="31" t="n">
        <v>10</v>
      </c>
      <c r="D23" s="27" t="s">
        <v>82</v>
      </c>
    </row>
    <row r="24" customFormat="false" ht="15" hidden="false" customHeight="false" outlineLevel="0" collapsed="false">
      <c r="B24" s="10" t="s">
        <v>83</v>
      </c>
      <c r="C24" s="28" t="n">
        <v>0.3</v>
      </c>
      <c r="D24" s="27" t="s">
        <v>84</v>
      </c>
    </row>
    <row r="25" customFormat="false" ht="15" hidden="false" customHeight="false" outlineLevel="0" collapsed="false">
      <c r="B25" s="10" t="s">
        <v>85</v>
      </c>
      <c r="C25" s="34" t="n">
        <v>300</v>
      </c>
      <c r="D25" s="27" t="s">
        <v>86</v>
      </c>
    </row>
    <row r="26" customFormat="false" ht="15" hidden="false" customHeight="false" outlineLevel="0" collapsed="false">
      <c r="B26" s="10" t="s">
        <v>87</v>
      </c>
      <c r="C26" s="24" t="n">
        <v>0.03</v>
      </c>
      <c r="D26" s="27" t="s">
        <v>63</v>
      </c>
    </row>
    <row r="27" customFormat="false" ht="15" hidden="false" customHeight="false" outlineLevel="0" collapsed="false">
      <c r="B27" s="10" t="s">
        <v>88</v>
      </c>
      <c r="C27" s="24" t="n">
        <v>0.01</v>
      </c>
      <c r="D27" s="27" t="s">
        <v>63</v>
      </c>
    </row>
    <row r="28" customFormat="false" ht="15" hidden="false" customHeight="false" outlineLevel="0" collapsed="false">
      <c r="B28" s="10" t="s">
        <v>89</v>
      </c>
      <c r="C28" s="34" t="n">
        <v>150</v>
      </c>
      <c r="D28" s="27" t="s">
        <v>90</v>
      </c>
    </row>
    <row r="29" customFormat="false" ht="15" hidden="false" customHeight="false" outlineLevel="0" collapsed="false">
      <c r="B29" s="10" t="s">
        <v>91</v>
      </c>
      <c r="C29" s="34" t="n">
        <v>500</v>
      </c>
      <c r="D29" s="27" t="s">
        <v>92</v>
      </c>
    </row>
    <row r="30" customFormat="false" ht="15" hidden="false" customHeight="false" outlineLevel="0" collapsed="false">
      <c r="B30" s="10" t="s">
        <v>93</v>
      </c>
      <c r="C30" s="28" t="n">
        <v>0.1</v>
      </c>
      <c r="D30" s="27" t="s">
        <v>94</v>
      </c>
    </row>
    <row r="31" customFormat="false" ht="15" hidden="false" customHeight="false" outlineLevel="0" collapsed="false">
      <c r="B31" s="10" t="s">
        <v>95</v>
      </c>
      <c r="C31" s="28" t="n">
        <v>0.05</v>
      </c>
      <c r="D31" s="27" t="s">
        <v>63</v>
      </c>
    </row>
    <row r="32" customFormat="false" ht="15" hidden="false" customHeight="false" outlineLevel="0" collapsed="false">
      <c r="B32" s="10" t="s">
        <v>96</v>
      </c>
      <c r="C32" s="28" t="n">
        <v>0.1</v>
      </c>
      <c r="D32" s="27" t="s">
        <v>97</v>
      </c>
    </row>
    <row r="34" customFormat="false" ht="15" hidden="false" customHeight="false" outlineLevel="0" collapsed="false">
      <c r="A34" s="7"/>
      <c r="B34" s="8" t="s">
        <v>98</v>
      </c>
      <c r="C34" s="7"/>
      <c r="D34" s="7"/>
      <c r="E34" s="7"/>
      <c r="F34" s="7"/>
      <c r="G34" s="7"/>
    </row>
    <row r="35" customFormat="false" ht="15" hidden="false" customHeight="false" outlineLevel="0" collapsed="false">
      <c r="B35" s="6" t="s">
        <v>99</v>
      </c>
      <c r="C35" s="6" t="s">
        <v>100</v>
      </c>
      <c r="D35" s="6" t="s">
        <v>101</v>
      </c>
      <c r="E35" s="6" t="s">
        <v>102</v>
      </c>
    </row>
    <row r="36" customFormat="false" ht="15" hidden="false" customHeight="false" outlineLevel="0" collapsed="false">
      <c r="B36" s="37" t="s">
        <v>103</v>
      </c>
      <c r="C36" s="31" t="n">
        <v>1</v>
      </c>
      <c r="D36" s="34" t="n">
        <v>300</v>
      </c>
      <c r="E36" s="10" t="s">
        <v>104</v>
      </c>
    </row>
    <row r="37" customFormat="false" ht="15" hidden="false" customHeight="false" outlineLevel="0" collapsed="false">
      <c r="B37" s="37" t="s">
        <v>105</v>
      </c>
      <c r="C37" s="31" t="n">
        <v>8</v>
      </c>
      <c r="D37" s="34" t="n">
        <v>10000</v>
      </c>
      <c r="E37" s="10" t="s">
        <v>106</v>
      </c>
    </row>
    <row r="38" customFormat="false" ht="15" hidden="false" customHeight="false" outlineLevel="0" collapsed="false">
      <c r="B38" s="37" t="s">
        <v>107</v>
      </c>
      <c r="C38" s="31" t="n">
        <v>10</v>
      </c>
      <c r="D38" s="34" t="n">
        <v>7500</v>
      </c>
      <c r="E38" s="10" t="s">
        <v>108</v>
      </c>
    </row>
    <row r="39" customFormat="false" ht="15" hidden="false" customHeight="false" outlineLevel="0" collapsed="false">
      <c r="B39" s="37" t="s">
        <v>109</v>
      </c>
      <c r="C39" s="31" t="n">
        <v>16</v>
      </c>
      <c r="D39" s="34" t="n">
        <v>20000</v>
      </c>
      <c r="E39" s="10" t="s">
        <v>110</v>
      </c>
    </row>
    <row r="40" customFormat="false" ht="15" hidden="false" customHeight="false" outlineLevel="0" collapsed="false">
      <c r="B40" s="37" t="s">
        <v>111</v>
      </c>
      <c r="C40" s="31" t="n">
        <v>25</v>
      </c>
      <c r="D40" s="34" t="n">
        <v>50000</v>
      </c>
      <c r="E40" s="10" t="s">
        <v>112</v>
      </c>
    </row>
    <row r="42" customFormat="false" ht="15" hidden="false" customHeight="false" outlineLevel="0" collapsed="false">
      <c r="A42" s="7"/>
      <c r="B42" s="8" t="s">
        <v>113</v>
      </c>
      <c r="C42" s="7"/>
      <c r="D42" s="7"/>
      <c r="E42" s="7"/>
      <c r="F42" s="7"/>
      <c r="G42" s="7"/>
    </row>
    <row r="43" customFormat="false" ht="15" hidden="false" customHeight="false" outlineLevel="0" collapsed="false">
      <c r="B43" s="6" t="s">
        <v>6</v>
      </c>
      <c r="C43" s="6" t="s">
        <v>100</v>
      </c>
      <c r="D43" s="6" t="s">
        <v>114</v>
      </c>
    </row>
    <row r="44" customFormat="false" ht="15" hidden="false" customHeight="false" outlineLevel="0" collapsed="false">
      <c r="B44" s="10" t="s">
        <v>115</v>
      </c>
      <c r="C44" s="31" t="n">
        <v>1</v>
      </c>
      <c r="D44" s="34" t="n">
        <v>800</v>
      </c>
    </row>
    <row r="45" customFormat="false" ht="15" hidden="false" customHeight="false" outlineLevel="0" collapsed="false">
      <c r="B45" s="10" t="s">
        <v>116</v>
      </c>
      <c r="C45" s="31" t="n">
        <v>1</v>
      </c>
      <c r="D45" s="34" t="n">
        <v>300</v>
      </c>
    </row>
    <row r="46" customFormat="false" ht="15" hidden="false" customHeight="false" outlineLevel="0" collapsed="false">
      <c r="B46" s="10" t="s">
        <v>117</v>
      </c>
      <c r="C46" s="31" t="n">
        <v>12</v>
      </c>
      <c r="D46" s="34" t="n">
        <v>600</v>
      </c>
    </row>
    <row r="47" customFormat="false" ht="15" hidden="false" customHeight="false" outlineLevel="0" collapsed="false">
      <c r="B47" s="10" t="s">
        <v>118</v>
      </c>
      <c r="C47" s="31" t="n">
        <v>12</v>
      </c>
      <c r="D47" s="34" t="n">
        <v>300</v>
      </c>
    </row>
    <row r="48" customFormat="false" ht="15" hidden="false" customHeight="false" outlineLevel="0" collapsed="false">
      <c r="B48" s="10" t="s">
        <v>119</v>
      </c>
      <c r="C48" s="31" t="n">
        <v>1</v>
      </c>
      <c r="D48" s="34" t="n">
        <v>50</v>
      </c>
    </row>
    <row r="50" customFormat="false" ht="15" hidden="false" customHeight="false" outlineLevel="0" collapsed="false">
      <c r="A50" s="7"/>
      <c r="B50" s="8" t="s">
        <v>120</v>
      </c>
      <c r="C50" s="7"/>
      <c r="D50" s="7"/>
      <c r="E50" s="7"/>
      <c r="F50" s="7"/>
      <c r="G50" s="7"/>
    </row>
    <row r="51" customFormat="false" ht="15" hidden="false" customHeight="false" outlineLevel="0" collapsed="false">
      <c r="B51" s="6" t="s">
        <v>6</v>
      </c>
      <c r="C51" s="6" t="s">
        <v>121</v>
      </c>
      <c r="D51" s="6" t="s">
        <v>122</v>
      </c>
    </row>
    <row r="52" customFormat="false" ht="15" hidden="false" customHeight="false" outlineLevel="0" collapsed="false">
      <c r="B52" s="10" t="s">
        <v>123</v>
      </c>
      <c r="C52" s="31" t="n">
        <v>1</v>
      </c>
      <c r="D52" s="34" t="n">
        <v>6000</v>
      </c>
    </row>
    <row r="53" customFormat="false" ht="15" hidden="false" customHeight="false" outlineLevel="0" collapsed="false">
      <c r="B53" s="10" t="s">
        <v>124</v>
      </c>
      <c r="C53" s="31" t="n">
        <v>1</v>
      </c>
      <c r="D53" s="34" t="n">
        <v>3000</v>
      </c>
    </row>
    <row r="54" customFormat="false" ht="15" hidden="false" customHeight="false" outlineLevel="0" collapsed="false">
      <c r="B54" s="10" t="s">
        <v>125</v>
      </c>
      <c r="C54" s="31" t="n">
        <v>1</v>
      </c>
      <c r="D54" s="34" t="n">
        <v>5000</v>
      </c>
    </row>
    <row r="55" customFormat="false" ht="15" hidden="false" customHeight="false" outlineLevel="0" collapsed="false">
      <c r="B55" s="10" t="s">
        <v>126</v>
      </c>
      <c r="C55" s="31" t="n">
        <v>7</v>
      </c>
      <c r="D55" s="34" t="n">
        <v>2000</v>
      </c>
    </row>
    <row r="56" customFormat="false" ht="15" hidden="false" customHeight="false" outlineLevel="0" collapsed="false">
      <c r="B56" s="10" t="s">
        <v>127</v>
      </c>
      <c r="C56" s="31" t="n">
        <v>12</v>
      </c>
      <c r="D56" s="34" t="n">
        <v>5000</v>
      </c>
    </row>
    <row r="57" customFormat="false" ht="15" hidden="false" customHeight="false" outlineLevel="0" collapsed="false">
      <c r="B57" s="10" t="s">
        <v>128</v>
      </c>
      <c r="C57" s="31" t="n">
        <v>24</v>
      </c>
      <c r="D57" s="34" t="n">
        <v>5000</v>
      </c>
    </row>
    <row r="59" customFormat="false" ht="15" hidden="false" customHeight="false" outlineLevel="0" collapsed="false">
      <c r="A59" s="7"/>
      <c r="B59" s="8" t="s">
        <v>129</v>
      </c>
      <c r="C59" s="7"/>
      <c r="D59" s="7"/>
      <c r="E59" s="7"/>
      <c r="F59" s="7"/>
      <c r="G59" s="7"/>
    </row>
    <row r="60" customFormat="false" ht="15" hidden="false" customHeight="false" outlineLevel="0" collapsed="false">
      <c r="B60" s="6" t="s">
        <v>130</v>
      </c>
      <c r="C60" s="6" t="s">
        <v>121</v>
      </c>
      <c r="D60" s="6" t="s">
        <v>131</v>
      </c>
      <c r="E60" s="6" t="s">
        <v>132</v>
      </c>
      <c r="F60" s="6" t="s">
        <v>133</v>
      </c>
      <c r="G60" s="6" t="s">
        <v>134</v>
      </c>
    </row>
    <row r="61" customFormat="false" ht="15" hidden="false" customHeight="false" outlineLevel="0" collapsed="false">
      <c r="B61" s="10" t="s">
        <v>135</v>
      </c>
      <c r="C61" s="31" t="n">
        <v>1</v>
      </c>
      <c r="D61" s="35" t="n">
        <v>200000</v>
      </c>
      <c r="G61" s="27" t="s">
        <v>136</v>
      </c>
    </row>
    <row r="62" customFormat="false" ht="15" hidden="false" customHeight="false" outlineLevel="0" collapsed="false">
      <c r="B62" s="10" t="s">
        <v>137</v>
      </c>
      <c r="C62" s="31" t="n">
        <v>11</v>
      </c>
      <c r="D62" s="35" t="n">
        <v>1000000</v>
      </c>
      <c r="E62" s="34" t="n">
        <v>4000000</v>
      </c>
      <c r="F62" s="14" t="n">
        <f aca="false">D62+E62</f>
        <v>5000000</v>
      </c>
      <c r="G62" s="17" t="n">
        <f aca="false">IF(F62&gt;0,D62/F62,0)</f>
        <v>0.2</v>
      </c>
    </row>
    <row r="63" customFormat="false" ht="15" hidden="false" customHeight="false" outlineLevel="0" collapsed="false">
      <c r="B63" s="10" t="s">
        <v>138</v>
      </c>
      <c r="C63" s="31" t="n">
        <v>25</v>
      </c>
      <c r="D63" s="14" t="n">
        <f aca="false">F17</f>
        <v>5000000</v>
      </c>
      <c r="E63" s="14" t="n">
        <f aca="false">F18</f>
        <v>20000000</v>
      </c>
      <c r="F63" s="14" t="n">
        <f aca="false">D63+E63</f>
        <v>25000000</v>
      </c>
      <c r="G63" s="17" t="n">
        <f aca="false">IF(F63&gt;0,D63/F63,0)</f>
        <v>0.2</v>
      </c>
    </row>
    <row r="64" customFormat="false" ht="15" hidden="false" customHeight="false" outlineLevel="0" collapsed="false">
      <c r="B64" s="2" t="s">
        <v>139</v>
      </c>
      <c r="G64" s="30" t="n">
        <f aca="false">(1-C32)*(1-G62)*(1-G63)</f>
        <v>0.576</v>
      </c>
    </row>
  </sheetData>
  <mergeCells count="1">
    <mergeCell ref="A1:G1"/>
  </mergeCells>
  <dataValidations count="1">
    <dataValidation allowBlank="false" errorStyle="stop" operator="between" showDropDown="false" showErrorMessage="false" showInputMessage="false" sqref="C4" type="list">
      <formula1>"متحفظ,أساسي,متفائل"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25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6" ySplit="3" topLeftCell="G4" activePane="bottomRight" state="frozen"/>
      <selection pane="topLeft" activeCell="A1" activeCellId="0" sqref="A1"/>
      <selection pane="topRight" activeCell="G1" activeCellId="0" sqref="G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5" min="3" style="0" width="12"/>
    <col collapsed="false" customWidth="true" hidden="false" outlineLevel="0" max="6" min="6" style="0" width="2"/>
    <col collapsed="false" customWidth="true" hidden="false" outlineLevel="0" max="42" min="7" style="0" width="10"/>
  </cols>
  <sheetData>
    <row r="1" customFormat="false" ht="25.5" hidden="false" customHeight="true" outlineLevel="0" collapsed="false">
      <c r="A1" s="1" t="s">
        <v>140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G2" s="38" t="s">
        <v>141</v>
      </c>
    </row>
    <row r="3" customFormat="false" ht="15" hidden="false" customHeight="false" outlineLevel="0" collapsed="false">
      <c r="A3" s="6" t="s">
        <v>142</v>
      </c>
      <c r="B3" s="6" t="s">
        <v>143</v>
      </c>
      <c r="C3" s="6" t="s">
        <v>100</v>
      </c>
      <c r="D3" s="6" t="s">
        <v>144</v>
      </c>
      <c r="E3" s="6" t="s">
        <v>114</v>
      </c>
      <c r="G3" s="39" t="n">
        <v>1</v>
      </c>
      <c r="H3" s="39" t="n">
        <v>2</v>
      </c>
      <c r="I3" s="39" t="n">
        <v>3</v>
      </c>
      <c r="J3" s="39" t="n">
        <v>4</v>
      </c>
      <c r="K3" s="39" t="n">
        <v>5</v>
      </c>
      <c r="L3" s="39" t="n">
        <v>6</v>
      </c>
      <c r="M3" s="39" t="n">
        <v>7</v>
      </c>
      <c r="N3" s="39" t="n">
        <v>8</v>
      </c>
      <c r="O3" s="39" t="n">
        <v>9</v>
      </c>
      <c r="P3" s="39" t="n">
        <v>10</v>
      </c>
      <c r="Q3" s="39" t="n">
        <v>11</v>
      </c>
      <c r="R3" s="39" t="n">
        <v>12</v>
      </c>
      <c r="S3" s="39" t="n">
        <v>13</v>
      </c>
      <c r="T3" s="39" t="n">
        <v>14</v>
      </c>
      <c r="U3" s="39" t="n">
        <v>15</v>
      </c>
      <c r="V3" s="39" t="n">
        <v>16</v>
      </c>
      <c r="W3" s="39" t="n">
        <v>17</v>
      </c>
      <c r="X3" s="39" t="n">
        <v>18</v>
      </c>
      <c r="Y3" s="39" t="n">
        <v>19</v>
      </c>
      <c r="Z3" s="39" t="n">
        <v>20</v>
      </c>
      <c r="AA3" s="39" t="n">
        <v>21</v>
      </c>
      <c r="AB3" s="39" t="n">
        <v>22</v>
      </c>
      <c r="AC3" s="39" t="n">
        <v>23</v>
      </c>
      <c r="AD3" s="39" t="n">
        <v>24</v>
      </c>
      <c r="AE3" s="39" t="n">
        <v>25</v>
      </c>
      <c r="AF3" s="39" t="n">
        <v>26</v>
      </c>
      <c r="AG3" s="39" t="n">
        <v>27</v>
      </c>
      <c r="AH3" s="39" t="n">
        <v>28</v>
      </c>
      <c r="AI3" s="39" t="n">
        <v>29</v>
      </c>
      <c r="AJ3" s="39" t="n">
        <v>30</v>
      </c>
      <c r="AK3" s="39" t="n">
        <v>31</v>
      </c>
      <c r="AL3" s="39" t="n">
        <v>32</v>
      </c>
      <c r="AM3" s="39" t="n">
        <v>33</v>
      </c>
      <c r="AN3" s="39" t="n">
        <v>34</v>
      </c>
      <c r="AO3" s="39" t="n">
        <v>35</v>
      </c>
      <c r="AP3" s="39" t="n">
        <v>36</v>
      </c>
    </row>
    <row r="4" customFormat="false" ht="15" hidden="false" customHeight="false" outlineLevel="0" collapsed="false">
      <c r="A4" s="37" t="s">
        <v>145</v>
      </c>
      <c r="B4" s="37" t="s">
        <v>146</v>
      </c>
      <c r="C4" s="31" t="n">
        <v>11</v>
      </c>
      <c r="D4" s="31" t="n">
        <v>36</v>
      </c>
      <c r="E4" s="34" t="n">
        <v>4000</v>
      </c>
      <c r="G4" s="14" t="n">
        <f aca="false">IF(AND(G$3&gt;=$C4,G$3&lt;=$D4),$E4*(1+الافتراضات!$C$31)^INT((G$3-1)/12),0)</f>
        <v>0</v>
      </c>
      <c r="H4" s="14" t="n">
        <f aca="false">IF(AND(H$3&gt;=$C4,H$3&lt;=$D4),$E4*(1+الافتراضات!$C$31)^INT((H$3-1)/12),0)</f>
        <v>0</v>
      </c>
      <c r="I4" s="14" t="n">
        <f aca="false">IF(AND(I$3&gt;=$C4,I$3&lt;=$D4),$E4*(1+الافتراضات!$C$31)^INT((I$3-1)/12),0)</f>
        <v>0</v>
      </c>
      <c r="J4" s="14" t="n">
        <f aca="false">IF(AND(J$3&gt;=$C4,J$3&lt;=$D4),$E4*(1+الافتراضات!$C$31)^INT((J$3-1)/12),0)</f>
        <v>0</v>
      </c>
      <c r="K4" s="14" t="n">
        <f aca="false">IF(AND(K$3&gt;=$C4,K$3&lt;=$D4),$E4*(1+الافتراضات!$C$31)^INT((K$3-1)/12),0)</f>
        <v>0</v>
      </c>
      <c r="L4" s="14" t="n">
        <f aca="false">IF(AND(L$3&gt;=$C4,L$3&lt;=$D4),$E4*(1+الافتراضات!$C$31)^INT((L$3-1)/12),0)</f>
        <v>0</v>
      </c>
      <c r="M4" s="14" t="n">
        <f aca="false">IF(AND(M$3&gt;=$C4,M$3&lt;=$D4),$E4*(1+الافتراضات!$C$31)^INT((M$3-1)/12),0)</f>
        <v>0</v>
      </c>
      <c r="N4" s="14" t="n">
        <f aca="false">IF(AND(N$3&gt;=$C4,N$3&lt;=$D4),$E4*(1+الافتراضات!$C$31)^INT((N$3-1)/12),0)</f>
        <v>0</v>
      </c>
      <c r="O4" s="14" t="n">
        <f aca="false">IF(AND(O$3&gt;=$C4,O$3&lt;=$D4),$E4*(1+الافتراضات!$C$31)^INT((O$3-1)/12),0)</f>
        <v>0</v>
      </c>
      <c r="P4" s="14" t="n">
        <f aca="false">IF(AND(P$3&gt;=$C4,P$3&lt;=$D4),$E4*(1+الافتراضات!$C$31)^INT((P$3-1)/12),0)</f>
        <v>0</v>
      </c>
      <c r="Q4" s="14" t="n">
        <f aca="false">IF(AND(Q$3&gt;=$C4,Q$3&lt;=$D4),$E4*(1+الافتراضات!$C$31)^INT((Q$3-1)/12),0)</f>
        <v>4000</v>
      </c>
      <c r="R4" s="14" t="n">
        <f aca="false">IF(AND(R$3&gt;=$C4,R$3&lt;=$D4),$E4*(1+الافتراضات!$C$31)^INT((R$3-1)/12),0)</f>
        <v>4000</v>
      </c>
      <c r="S4" s="14" t="n">
        <f aca="false">IF(AND(S$3&gt;=$C4,S$3&lt;=$D4),$E4*(1+الافتراضات!$C$31)^INT((S$3-1)/12),0)</f>
        <v>4200</v>
      </c>
      <c r="T4" s="14" t="n">
        <f aca="false">IF(AND(T$3&gt;=$C4,T$3&lt;=$D4),$E4*(1+الافتراضات!$C$31)^INT((T$3-1)/12),0)</f>
        <v>4200</v>
      </c>
      <c r="U4" s="14" t="n">
        <f aca="false">IF(AND(U$3&gt;=$C4,U$3&lt;=$D4),$E4*(1+الافتراضات!$C$31)^INT((U$3-1)/12),0)</f>
        <v>4200</v>
      </c>
      <c r="V4" s="14" t="n">
        <f aca="false">IF(AND(V$3&gt;=$C4,V$3&lt;=$D4),$E4*(1+الافتراضات!$C$31)^INT((V$3-1)/12),0)</f>
        <v>4200</v>
      </c>
      <c r="W4" s="14" t="n">
        <f aca="false">IF(AND(W$3&gt;=$C4,W$3&lt;=$D4),$E4*(1+الافتراضات!$C$31)^INT((W$3-1)/12),0)</f>
        <v>4200</v>
      </c>
      <c r="X4" s="14" t="n">
        <f aca="false">IF(AND(X$3&gt;=$C4,X$3&lt;=$D4),$E4*(1+الافتراضات!$C$31)^INT((X$3-1)/12),0)</f>
        <v>4200</v>
      </c>
      <c r="Y4" s="14" t="n">
        <f aca="false">IF(AND(Y$3&gt;=$C4,Y$3&lt;=$D4),$E4*(1+الافتراضات!$C$31)^INT((Y$3-1)/12),0)</f>
        <v>4200</v>
      </c>
      <c r="Z4" s="14" t="n">
        <f aca="false">IF(AND(Z$3&gt;=$C4,Z$3&lt;=$D4),$E4*(1+الافتراضات!$C$31)^INT((Z$3-1)/12),0)</f>
        <v>4200</v>
      </c>
      <c r="AA4" s="14" t="n">
        <f aca="false">IF(AND(AA$3&gt;=$C4,AA$3&lt;=$D4),$E4*(1+الافتراضات!$C$31)^INT((AA$3-1)/12),0)</f>
        <v>4200</v>
      </c>
      <c r="AB4" s="14" t="n">
        <f aca="false">IF(AND(AB$3&gt;=$C4,AB$3&lt;=$D4),$E4*(1+الافتراضات!$C$31)^INT((AB$3-1)/12),0)</f>
        <v>4200</v>
      </c>
      <c r="AC4" s="14" t="n">
        <f aca="false">IF(AND(AC$3&gt;=$C4,AC$3&lt;=$D4),$E4*(1+الافتراضات!$C$31)^INT((AC$3-1)/12),0)</f>
        <v>4200</v>
      </c>
      <c r="AD4" s="14" t="n">
        <f aca="false">IF(AND(AD$3&gt;=$C4,AD$3&lt;=$D4),$E4*(1+الافتراضات!$C$31)^INT((AD$3-1)/12),0)</f>
        <v>4200</v>
      </c>
      <c r="AE4" s="14" t="n">
        <f aca="false">IF(AND(AE$3&gt;=$C4,AE$3&lt;=$D4),$E4*(1+الافتراضات!$C$31)^INT((AE$3-1)/12),0)</f>
        <v>4410</v>
      </c>
      <c r="AF4" s="14" t="n">
        <f aca="false">IF(AND(AF$3&gt;=$C4,AF$3&lt;=$D4),$E4*(1+الافتراضات!$C$31)^INT((AF$3-1)/12),0)</f>
        <v>4410</v>
      </c>
      <c r="AG4" s="14" t="n">
        <f aca="false">IF(AND(AG$3&gt;=$C4,AG$3&lt;=$D4),$E4*(1+الافتراضات!$C$31)^INT((AG$3-1)/12),0)</f>
        <v>4410</v>
      </c>
      <c r="AH4" s="14" t="n">
        <f aca="false">IF(AND(AH$3&gt;=$C4,AH$3&lt;=$D4),$E4*(1+الافتراضات!$C$31)^INT((AH$3-1)/12),0)</f>
        <v>4410</v>
      </c>
      <c r="AI4" s="14" t="n">
        <f aca="false">IF(AND(AI$3&gt;=$C4,AI$3&lt;=$D4),$E4*(1+الافتراضات!$C$31)^INT((AI$3-1)/12),0)</f>
        <v>4410</v>
      </c>
      <c r="AJ4" s="14" t="n">
        <f aca="false">IF(AND(AJ$3&gt;=$C4,AJ$3&lt;=$D4),$E4*(1+الافتراضات!$C$31)^INT((AJ$3-1)/12),0)</f>
        <v>4410</v>
      </c>
      <c r="AK4" s="14" t="n">
        <f aca="false">IF(AND(AK$3&gt;=$C4,AK$3&lt;=$D4),$E4*(1+الافتراضات!$C$31)^INT((AK$3-1)/12),0)</f>
        <v>4410</v>
      </c>
      <c r="AL4" s="14" t="n">
        <f aca="false">IF(AND(AL$3&gt;=$C4,AL$3&lt;=$D4),$E4*(1+الافتراضات!$C$31)^INT((AL$3-1)/12),0)</f>
        <v>4410</v>
      </c>
      <c r="AM4" s="14" t="n">
        <f aca="false">IF(AND(AM$3&gt;=$C4,AM$3&lt;=$D4),$E4*(1+الافتراضات!$C$31)^INT((AM$3-1)/12),0)</f>
        <v>4410</v>
      </c>
      <c r="AN4" s="14" t="n">
        <f aca="false">IF(AND(AN$3&gt;=$C4,AN$3&lt;=$D4),$E4*(1+الافتراضات!$C$31)^INT((AN$3-1)/12),0)</f>
        <v>4410</v>
      </c>
      <c r="AO4" s="14" t="n">
        <f aca="false">IF(AND(AO$3&gt;=$C4,AO$3&lt;=$D4),$E4*(1+الافتراضات!$C$31)^INT((AO$3-1)/12),0)</f>
        <v>4410</v>
      </c>
      <c r="AP4" s="14" t="n">
        <f aca="false">IF(AND(AP$3&gt;=$C4,AP$3&lt;=$D4),$E4*(1+الافتراضات!$C$31)^INT((AP$3-1)/12),0)</f>
        <v>4410</v>
      </c>
    </row>
    <row r="5" customFormat="false" ht="15" hidden="false" customHeight="false" outlineLevel="0" collapsed="false">
      <c r="A5" s="37" t="s">
        <v>147</v>
      </c>
      <c r="B5" s="37" t="s">
        <v>146</v>
      </c>
      <c r="C5" s="31" t="n">
        <v>1</v>
      </c>
      <c r="D5" s="31" t="n">
        <v>36</v>
      </c>
      <c r="E5" s="34" t="n">
        <v>4500</v>
      </c>
      <c r="G5" s="14" t="n">
        <f aca="false">IF(AND(G$3&gt;=$C5,G$3&lt;=$D5),$E5*(1+الافتراضات!$C$31)^INT((G$3-1)/12),0)</f>
        <v>4500</v>
      </c>
      <c r="H5" s="14" t="n">
        <f aca="false">IF(AND(H$3&gt;=$C5,H$3&lt;=$D5),$E5*(1+الافتراضات!$C$31)^INT((H$3-1)/12),0)</f>
        <v>4500</v>
      </c>
      <c r="I5" s="14" t="n">
        <f aca="false">IF(AND(I$3&gt;=$C5,I$3&lt;=$D5),$E5*(1+الافتراضات!$C$31)^INT((I$3-1)/12),0)</f>
        <v>4500</v>
      </c>
      <c r="J5" s="14" t="n">
        <f aca="false">IF(AND(J$3&gt;=$C5,J$3&lt;=$D5),$E5*(1+الافتراضات!$C$31)^INT((J$3-1)/12),0)</f>
        <v>4500</v>
      </c>
      <c r="K5" s="14" t="n">
        <f aca="false">IF(AND(K$3&gt;=$C5,K$3&lt;=$D5),$E5*(1+الافتراضات!$C$31)^INT((K$3-1)/12),0)</f>
        <v>4500</v>
      </c>
      <c r="L5" s="14" t="n">
        <f aca="false">IF(AND(L$3&gt;=$C5,L$3&lt;=$D5),$E5*(1+الافتراضات!$C$31)^INT((L$3-1)/12),0)</f>
        <v>4500</v>
      </c>
      <c r="M5" s="14" t="n">
        <f aca="false">IF(AND(M$3&gt;=$C5,M$3&lt;=$D5),$E5*(1+الافتراضات!$C$31)^INT((M$3-1)/12),0)</f>
        <v>4500</v>
      </c>
      <c r="N5" s="14" t="n">
        <f aca="false">IF(AND(N$3&gt;=$C5,N$3&lt;=$D5),$E5*(1+الافتراضات!$C$31)^INT((N$3-1)/12),0)</f>
        <v>4500</v>
      </c>
      <c r="O5" s="14" t="n">
        <f aca="false">IF(AND(O$3&gt;=$C5,O$3&lt;=$D5),$E5*(1+الافتراضات!$C$31)^INT((O$3-1)/12),0)</f>
        <v>4500</v>
      </c>
      <c r="P5" s="14" t="n">
        <f aca="false">IF(AND(P$3&gt;=$C5,P$3&lt;=$D5),$E5*(1+الافتراضات!$C$31)^INT((P$3-1)/12),0)</f>
        <v>4500</v>
      </c>
      <c r="Q5" s="14" t="n">
        <f aca="false">IF(AND(Q$3&gt;=$C5,Q$3&lt;=$D5),$E5*(1+الافتراضات!$C$31)^INT((Q$3-1)/12),0)</f>
        <v>4500</v>
      </c>
      <c r="R5" s="14" t="n">
        <f aca="false">IF(AND(R$3&gt;=$C5,R$3&lt;=$D5),$E5*(1+الافتراضات!$C$31)^INT((R$3-1)/12),0)</f>
        <v>4500</v>
      </c>
      <c r="S5" s="14" t="n">
        <f aca="false">IF(AND(S$3&gt;=$C5,S$3&lt;=$D5),$E5*(1+الافتراضات!$C$31)^INT((S$3-1)/12),0)</f>
        <v>4725</v>
      </c>
      <c r="T5" s="14" t="n">
        <f aca="false">IF(AND(T$3&gt;=$C5,T$3&lt;=$D5),$E5*(1+الافتراضات!$C$31)^INT((T$3-1)/12),0)</f>
        <v>4725</v>
      </c>
      <c r="U5" s="14" t="n">
        <f aca="false">IF(AND(U$3&gt;=$C5,U$3&lt;=$D5),$E5*(1+الافتراضات!$C$31)^INT((U$3-1)/12),0)</f>
        <v>4725</v>
      </c>
      <c r="V5" s="14" t="n">
        <f aca="false">IF(AND(V$3&gt;=$C5,V$3&lt;=$D5),$E5*(1+الافتراضات!$C$31)^INT((V$3-1)/12),0)</f>
        <v>4725</v>
      </c>
      <c r="W5" s="14" t="n">
        <f aca="false">IF(AND(W$3&gt;=$C5,W$3&lt;=$D5),$E5*(1+الافتراضات!$C$31)^INT((W$3-1)/12),0)</f>
        <v>4725</v>
      </c>
      <c r="X5" s="14" t="n">
        <f aca="false">IF(AND(X$3&gt;=$C5,X$3&lt;=$D5),$E5*(1+الافتراضات!$C$31)^INT((X$3-1)/12),0)</f>
        <v>4725</v>
      </c>
      <c r="Y5" s="14" t="n">
        <f aca="false">IF(AND(Y$3&gt;=$C5,Y$3&lt;=$D5),$E5*(1+الافتراضات!$C$31)^INT((Y$3-1)/12),0)</f>
        <v>4725</v>
      </c>
      <c r="Z5" s="14" t="n">
        <f aca="false">IF(AND(Z$3&gt;=$C5,Z$3&lt;=$D5),$E5*(1+الافتراضات!$C$31)^INT((Z$3-1)/12),0)</f>
        <v>4725</v>
      </c>
      <c r="AA5" s="14" t="n">
        <f aca="false">IF(AND(AA$3&gt;=$C5,AA$3&lt;=$D5),$E5*(1+الافتراضات!$C$31)^INT((AA$3-1)/12),0)</f>
        <v>4725</v>
      </c>
      <c r="AB5" s="14" t="n">
        <f aca="false">IF(AND(AB$3&gt;=$C5,AB$3&lt;=$D5),$E5*(1+الافتراضات!$C$31)^INT((AB$3-1)/12),0)</f>
        <v>4725</v>
      </c>
      <c r="AC5" s="14" t="n">
        <f aca="false">IF(AND(AC$3&gt;=$C5,AC$3&lt;=$D5),$E5*(1+الافتراضات!$C$31)^INT((AC$3-1)/12),0)</f>
        <v>4725</v>
      </c>
      <c r="AD5" s="14" t="n">
        <f aca="false">IF(AND(AD$3&gt;=$C5,AD$3&lt;=$D5),$E5*(1+الافتراضات!$C$31)^INT((AD$3-1)/12),0)</f>
        <v>4725</v>
      </c>
      <c r="AE5" s="14" t="n">
        <f aca="false">IF(AND(AE$3&gt;=$C5,AE$3&lt;=$D5),$E5*(1+الافتراضات!$C$31)^INT((AE$3-1)/12),0)</f>
        <v>4961.25</v>
      </c>
      <c r="AF5" s="14" t="n">
        <f aca="false">IF(AND(AF$3&gt;=$C5,AF$3&lt;=$D5),$E5*(1+الافتراضات!$C$31)^INT((AF$3-1)/12),0)</f>
        <v>4961.25</v>
      </c>
      <c r="AG5" s="14" t="n">
        <f aca="false">IF(AND(AG$3&gt;=$C5,AG$3&lt;=$D5),$E5*(1+الافتراضات!$C$31)^INT((AG$3-1)/12),0)</f>
        <v>4961.25</v>
      </c>
      <c r="AH5" s="14" t="n">
        <f aca="false">IF(AND(AH$3&gt;=$C5,AH$3&lt;=$D5),$E5*(1+الافتراضات!$C$31)^INT((AH$3-1)/12),0)</f>
        <v>4961.25</v>
      </c>
      <c r="AI5" s="14" t="n">
        <f aca="false">IF(AND(AI$3&gt;=$C5,AI$3&lt;=$D5),$E5*(1+الافتراضات!$C$31)^INT((AI$3-1)/12),0)</f>
        <v>4961.25</v>
      </c>
      <c r="AJ5" s="14" t="n">
        <f aca="false">IF(AND(AJ$3&gt;=$C5,AJ$3&lt;=$D5),$E5*(1+الافتراضات!$C$31)^INT((AJ$3-1)/12),0)</f>
        <v>4961.25</v>
      </c>
      <c r="AK5" s="14" t="n">
        <f aca="false">IF(AND(AK$3&gt;=$C5,AK$3&lt;=$D5),$E5*(1+الافتراضات!$C$31)^INT((AK$3-1)/12),0)</f>
        <v>4961.25</v>
      </c>
      <c r="AL5" s="14" t="n">
        <f aca="false">IF(AND(AL$3&gt;=$C5,AL$3&lt;=$D5),$E5*(1+الافتراضات!$C$31)^INT((AL$3-1)/12),0)</f>
        <v>4961.25</v>
      </c>
      <c r="AM5" s="14" t="n">
        <f aca="false">IF(AND(AM$3&gt;=$C5,AM$3&lt;=$D5),$E5*(1+الافتراضات!$C$31)^INT((AM$3-1)/12),0)</f>
        <v>4961.25</v>
      </c>
      <c r="AN5" s="14" t="n">
        <f aca="false">IF(AND(AN$3&gt;=$C5,AN$3&lt;=$D5),$E5*(1+الافتراضات!$C$31)^INT((AN$3-1)/12),0)</f>
        <v>4961.25</v>
      </c>
      <c r="AO5" s="14" t="n">
        <f aca="false">IF(AND(AO$3&gt;=$C5,AO$3&lt;=$D5),$E5*(1+الافتراضات!$C$31)^INT((AO$3-1)/12),0)</f>
        <v>4961.25</v>
      </c>
      <c r="AP5" s="14" t="n">
        <f aca="false">IF(AND(AP$3&gt;=$C5,AP$3&lt;=$D5),$E5*(1+الافتراضات!$C$31)^INT((AP$3-1)/12),0)</f>
        <v>4961.25</v>
      </c>
    </row>
    <row r="6" customFormat="false" ht="15" hidden="false" customHeight="false" outlineLevel="0" collapsed="false">
      <c r="A6" s="37" t="s">
        <v>148</v>
      </c>
      <c r="B6" s="37" t="s">
        <v>146</v>
      </c>
      <c r="C6" s="31" t="n">
        <v>2</v>
      </c>
      <c r="D6" s="31" t="n">
        <v>36</v>
      </c>
      <c r="E6" s="34" t="n">
        <v>4000</v>
      </c>
      <c r="G6" s="14" t="n">
        <f aca="false">IF(AND(G$3&gt;=$C6,G$3&lt;=$D6),$E6*(1+الافتراضات!$C$31)^INT((G$3-1)/12),0)</f>
        <v>0</v>
      </c>
      <c r="H6" s="14" t="n">
        <f aca="false">IF(AND(H$3&gt;=$C6,H$3&lt;=$D6),$E6*(1+الافتراضات!$C$31)^INT((H$3-1)/12),0)</f>
        <v>4000</v>
      </c>
      <c r="I6" s="14" t="n">
        <f aca="false">IF(AND(I$3&gt;=$C6,I$3&lt;=$D6),$E6*(1+الافتراضات!$C$31)^INT((I$3-1)/12),0)</f>
        <v>4000</v>
      </c>
      <c r="J6" s="14" t="n">
        <f aca="false">IF(AND(J$3&gt;=$C6,J$3&lt;=$D6),$E6*(1+الافتراضات!$C$31)^INT((J$3-1)/12),0)</f>
        <v>4000</v>
      </c>
      <c r="K6" s="14" t="n">
        <f aca="false">IF(AND(K$3&gt;=$C6,K$3&lt;=$D6),$E6*(1+الافتراضات!$C$31)^INT((K$3-1)/12),0)</f>
        <v>4000</v>
      </c>
      <c r="L6" s="14" t="n">
        <f aca="false">IF(AND(L$3&gt;=$C6,L$3&lt;=$D6),$E6*(1+الافتراضات!$C$31)^INT((L$3-1)/12),0)</f>
        <v>4000</v>
      </c>
      <c r="M6" s="14" t="n">
        <f aca="false">IF(AND(M$3&gt;=$C6,M$3&lt;=$D6),$E6*(1+الافتراضات!$C$31)^INT((M$3-1)/12),0)</f>
        <v>4000</v>
      </c>
      <c r="N6" s="14" t="n">
        <f aca="false">IF(AND(N$3&gt;=$C6,N$3&lt;=$D6),$E6*(1+الافتراضات!$C$31)^INT((N$3-1)/12),0)</f>
        <v>4000</v>
      </c>
      <c r="O6" s="14" t="n">
        <f aca="false">IF(AND(O$3&gt;=$C6,O$3&lt;=$D6),$E6*(1+الافتراضات!$C$31)^INT((O$3-1)/12),0)</f>
        <v>4000</v>
      </c>
      <c r="P6" s="14" t="n">
        <f aca="false">IF(AND(P$3&gt;=$C6,P$3&lt;=$D6),$E6*(1+الافتراضات!$C$31)^INT((P$3-1)/12),0)</f>
        <v>4000</v>
      </c>
      <c r="Q6" s="14" t="n">
        <f aca="false">IF(AND(Q$3&gt;=$C6,Q$3&lt;=$D6),$E6*(1+الافتراضات!$C$31)^INT((Q$3-1)/12),0)</f>
        <v>4000</v>
      </c>
      <c r="R6" s="14" t="n">
        <f aca="false">IF(AND(R$3&gt;=$C6,R$3&lt;=$D6),$E6*(1+الافتراضات!$C$31)^INT((R$3-1)/12),0)</f>
        <v>4000</v>
      </c>
      <c r="S6" s="14" t="n">
        <f aca="false">IF(AND(S$3&gt;=$C6,S$3&lt;=$D6),$E6*(1+الافتراضات!$C$31)^INT((S$3-1)/12),0)</f>
        <v>4200</v>
      </c>
      <c r="T6" s="14" t="n">
        <f aca="false">IF(AND(T$3&gt;=$C6,T$3&lt;=$D6),$E6*(1+الافتراضات!$C$31)^INT((T$3-1)/12),0)</f>
        <v>4200</v>
      </c>
      <c r="U6" s="14" t="n">
        <f aca="false">IF(AND(U$3&gt;=$C6,U$3&lt;=$D6),$E6*(1+الافتراضات!$C$31)^INT((U$3-1)/12),0)</f>
        <v>4200</v>
      </c>
      <c r="V6" s="14" t="n">
        <f aca="false">IF(AND(V$3&gt;=$C6,V$3&lt;=$D6),$E6*(1+الافتراضات!$C$31)^INT((V$3-1)/12),0)</f>
        <v>4200</v>
      </c>
      <c r="W6" s="14" t="n">
        <f aca="false">IF(AND(W$3&gt;=$C6,W$3&lt;=$D6),$E6*(1+الافتراضات!$C$31)^INT((W$3-1)/12),0)</f>
        <v>4200</v>
      </c>
      <c r="X6" s="14" t="n">
        <f aca="false">IF(AND(X$3&gt;=$C6,X$3&lt;=$D6),$E6*(1+الافتراضات!$C$31)^INT((X$3-1)/12),0)</f>
        <v>4200</v>
      </c>
      <c r="Y6" s="14" t="n">
        <f aca="false">IF(AND(Y$3&gt;=$C6,Y$3&lt;=$D6),$E6*(1+الافتراضات!$C$31)^INT((Y$3-1)/12),0)</f>
        <v>4200</v>
      </c>
      <c r="Z6" s="14" t="n">
        <f aca="false">IF(AND(Z$3&gt;=$C6,Z$3&lt;=$D6),$E6*(1+الافتراضات!$C$31)^INT((Z$3-1)/12),0)</f>
        <v>4200</v>
      </c>
      <c r="AA6" s="14" t="n">
        <f aca="false">IF(AND(AA$3&gt;=$C6,AA$3&lt;=$D6),$E6*(1+الافتراضات!$C$31)^INT((AA$3-1)/12),0)</f>
        <v>4200</v>
      </c>
      <c r="AB6" s="14" t="n">
        <f aca="false">IF(AND(AB$3&gt;=$C6,AB$3&lt;=$D6),$E6*(1+الافتراضات!$C$31)^INT((AB$3-1)/12),0)</f>
        <v>4200</v>
      </c>
      <c r="AC6" s="14" t="n">
        <f aca="false">IF(AND(AC$3&gt;=$C6,AC$3&lt;=$D6),$E6*(1+الافتراضات!$C$31)^INT((AC$3-1)/12),0)</f>
        <v>4200</v>
      </c>
      <c r="AD6" s="14" t="n">
        <f aca="false">IF(AND(AD$3&gt;=$C6,AD$3&lt;=$D6),$E6*(1+الافتراضات!$C$31)^INT((AD$3-1)/12),0)</f>
        <v>4200</v>
      </c>
      <c r="AE6" s="14" t="n">
        <f aca="false">IF(AND(AE$3&gt;=$C6,AE$3&lt;=$D6),$E6*(1+الافتراضات!$C$31)^INT((AE$3-1)/12),0)</f>
        <v>4410</v>
      </c>
      <c r="AF6" s="14" t="n">
        <f aca="false">IF(AND(AF$3&gt;=$C6,AF$3&lt;=$D6),$E6*(1+الافتراضات!$C$31)^INT((AF$3-1)/12),0)</f>
        <v>4410</v>
      </c>
      <c r="AG6" s="14" t="n">
        <f aca="false">IF(AND(AG$3&gt;=$C6,AG$3&lt;=$D6),$E6*(1+الافتراضات!$C$31)^INT((AG$3-1)/12),0)</f>
        <v>4410</v>
      </c>
      <c r="AH6" s="14" t="n">
        <f aca="false">IF(AND(AH$3&gt;=$C6,AH$3&lt;=$D6),$E6*(1+الافتراضات!$C$31)^INT((AH$3-1)/12),0)</f>
        <v>4410</v>
      </c>
      <c r="AI6" s="14" t="n">
        <f aca="false">IF(AND(AI$3&gt;=$C6,AI$3&lt;=$D6),$E6*(1+الافتراضات!$C$31)^INT((AI$3-1)/12),0)</f>
        <v>4410</v>
      </c>
      <c r="AJ6" s="14" t="n">
        <f aca="false">IF(AND(AJ$3&gt;=$C6,AJ$3&lt;=$D6),$E6*(1+الافتراضات!$C$31)^INT((AJ$3-1)/12),0)</f>
        <v>4410</v>
      </c>
      <c r="AK6" s="14" t="n">
        <f aca="false">IF(AND(AK$3&gt;=$C6,AK$3&lt;=$D6),$E6*(1+الافتراضات!$C$31)^INT((AK$3-1)/12),0)</f>
        <v>4410</v>
      </c>
      <c r="AL6" s="14" t="n">
        <f aca="false">IF(AND(AL$3&gt;=$C6,AL$3&lt;=$D6),$E6*(1+الافتراضات!$C$31)^INT((AL$3-1)/12),0)</f>
        <v>4410</v>
      </c>
      <c r="AM6" s="14" t="n">
        <f aca="false">IF(AND(AM$3&gt;=$C6,AM$3&lt;=$D6),$E6*(1+الافتراضات!$C$31)^INT((AM$3-1)/12),0)</f>
        <v>4410</v>
      </c>
      <c r="AN6" s="14" t="n">
        <f aca="false">IF(AND(AN$3&gt;=$C6,AN$3&lt;=$D6),$E6*(1+الافتراضات!$C$31)^INT((AN$3-1)/12),0)</f>
        <v>4410</v>
      </c>
      <c r="AO6" s="14" t="n">
        <f aca="false">IF(AND(AO$3&gt;=$C6,AO$3&lt;=$D6),$E6*(1+الافتراضات!$C$31)^INT((AO$3-1)/12),0)</f>
        <v>4410</v>
      </c>
      <c r="AP6" s="14" t="n">
        <f aca="false">IF(AND(AP$3&gt;=$C6,AP$3&lt;=$D6),$E6*(1+الافتراضات!$C$31)^INT((AP$3-1)/12),0)</f>
        <v>4410</v>
      </c>
    </row>
    <row r="7" customFormat="false" ht="15" hidden="false" customHeight="false" outlineLevel="0" collapsed="false">
      <c r="A7" s="37" t="s">
        <v>149</v>
      </c>
      <c r="B7" s="37" t="s">
        <v>150</v>
      </c>
      <c r="C7" s="31" t="n">
        <v>1</v>
      </c>
      <c r="D7" s="31" t="n">
        <v>12</v>
      </c>
      <c r="E7" s="34" t="n">
        <v>2000</v>
      </c>
      <c r="G7" s="14" t="n">
        <f aca="false">IF(AND(G$3&gt;=$C7,G$3&lt;=$D7),$E7*(1+الافتراضات!$C$31)^INT((G$3-1)/12),0)</f>
        <v>2000</v>
      </c>
      <c r="H7" s="14" t="n">
        <f aca="false">IF(AND(H$3&gt;=$C7,H$3&lt;=$D7),$E7*(1+الافتراضات!$C$31)^INT((H$3-1)/12),0)</f>
        <v>2000</v>
      </c>
      <c r="I7" s="14" t="n">
        <f aca="false">IF(AND(I$3&gt;=$C7,I$3&lt;=$D7),$E7*(1+الافتراضات!$C$31)^INT((I$3-1)/12),0)</f>
        <v>2000</v>
      </c>
      <c r="J7" s="14" t="n">
        <f aca="false">IF(AND(J$3&gt;=$C7,J$3&lt;=$D7),$E7*(1+الافتراضات!$C$31)^INT((J$3-1)/12),0)</f>
        <v>2000</v>
      </c>
      <c r="K7" s="14" t="n">
        <f aca="false">IF(AND(K$3&gt;=$C7,K$3&lt;=$D7),$E7*(1+الافتراضات!$C$31)^INT((K$3-1)/12),0)</f>
        <v>2000</v>
      </c>
      <c r="L7" s="14" t="n">
        <f aca="false">IF(AND(L$3&gt;=$C7,L$3&lt;=$D7),$E7*(1+الافتراضات!$C$31)^INT((L$3-1)/12),0)</f>
        <v>2000</v>
      </c>
      <c r="M7" s="14" t="n">
        <f aca="false">IF(AND(M$3&gt;=$C7,M$3&lt;=$D7),$E7*(1+الافتراضات!$C$31)^INT((M$3-1)/12),0)</f>
        <v>2000</v>
      </c>
      <c r="N7" s="14" t="n">
        <f aca="false">IF(AND(N$3&gt;=$C7,N$3&lt;=$D7),$E7*(1+الافتراضات!$C$31)^INT((N$3-1)/12),0)</f>
        <v>2000</v>
      </c>
      <c r="O7" s="14" t="n">
        <f aca="false">IF(AND(O$3&gt;=$C7,O$3&lt;=$D7),$E7*(1+الافتراضات!$C$31)^INT((O$3-1)/12),0)</f>
        <v>2000</v>
      </c>
      <c r="P7" s="14" t="n">
        <f aca="false">IF(AND(P$3&gt;=$C7,P$3&lt;=$D7),$E7*(1+الافتراضات!$C$31)^INT((P$3-1)/12),0)</f>
        <v>2000</v>
      </c>
      <c r="Q7" s="14" t="n">
        <f aca="false">IF(AND(Q$3&gt;=$C7,Q$3&lt;=$D7),$E7*(1+الافتراضات!$C$31)^INT((Q$3-1)/12),0)</f>
        <v>2000</v>
      </c>
      <c r="R7" s="14" t="n">
        <f aca="false">IF(AND(R$3&gt;=$C7,R$3&lt;=$D7),$E7*(1+الافتراضات!$C$31)^INT((R$3-1)/12),0)</f>
        <v>2000</v>
      </c>
      <c r="S7" s="14" t="n">
        <f aca="false">IF(AND(S$3&gt;=$C7,S$3&lt;=$D7),$E7*(1+الافتراضات!$C$31)^INT((S$3-1)/12),0)</f>
        <v>0</v>
      </c>
      <c r="T7" s="14" t="n">
        <f aca="false">IF(AND(T$3&gt;=$C7,T$3&lt;=$D7),$E7*(1+الافتراضات!$C$31)^INT((T$3-1)/12),0)</f>
        <v>0</v>
      </c>
      <c r="U7" s="14" t="n">
        <f aca="false">IF(AND(U$3&gt;=$C7,U$3&lt;=$D7),$E7*(1+الافتراضات!$C$31)^INT((U$3-1)/12),0)</f>
        <v>0</v>
      </c>
      <c r="V7" s="14" t="n">
        <f aca="false">IF(AND(V$3&gt;=$C7,V$3&lt;=$D7),$E7*(1+الافتراضات!$C$31)^INT((V$3-1)/12),0)</f>
        <v>0</v>
      </c>
      <c r="W7" s="14" t="n">
        <f aca="false">IF(AND(W$3&gt;=$C7,W$3&lt;=$D7),$E7*(1+الافتراضات!$C$31)^INT((W$3-1)/12),0)</f>
        <v>0</v>
      </c>
      <c r="X7" s="14" t="n">
        <f aca="false">IF(AND(X$3&gt;=$C7,X$3&lt;=$D7),$E7*(1+الافتراضات!$C$31)^INT((X$3-1)/12),0)</f>
        <v>0</v>
      </c>
      <c r="Y7" s="14" t="n">
        <f aca="false">IF(AND(Y$3&gt;=$C7,Y$3&lt;=$D7),$E7*(1+الافتراضات!$C$31)^INT((Y$3-1)/12),0)</f>
        <v>0</v>
      </c>
      <c r="Z7" s="14" t="n">
        <f aca="false">IF(AND(Z$3&gt;=$C7,Z$3&lt;=$D7),$E7*(1+الافتراضات!$C$31)^INT((Z$3-1)/12),0)</f>
        <v>0</v>
      </c>
      <c r="AA7" s="14" t="n">
        <f aca="false">IF(AND(AA$3&gt;=$C7,AA$3&lt;=$D7),$E7*(1+الافتراضات!$C$31)^INT((AA$3-1)/12),0)</f>
        <v>0</v>
      </c>
      <c r="AB7" s="14" t="n">
        <f aca="false">IF(AND(AB$3&gt;=$C7,AB$3&lt;=$D7),$E7*(1+الافتراضات!$C$31)^INT((AB$3-1)/12),0)</f>
        <v>0</v>
      </c>
      <c r="AC7" s="14" t="n">
        <f aca="false">IF(AND(AC$3&gt;=$C7,AC$3&lt;=$D7),$E7*(1+الافتراضات!$C$31)^INT((AC$3-1)/12),0)</f>
        <v>0</v>
      </c>
      <c r="AD7" s="14" t="n">
        <f aca="false">IF(AND(AD$3&gt;=$C7,AD$3&lt;=$D7),$E7*(1+الافتراضات!$C$31)^INT((AD$3-1)/12),0)</f>
        <v>0</v>
      </c>
      <c r="AE7" s="14" t="n">
        <f aca="false">IF(AND(AE$3&gt;=$C7,AE$3&lt;=$D7),$E7*(1+الافتراضات!$C$31)^INT((AE$3-1)/12),0)</f>
        <v>0</v>
      </c>
      <c r="AF7" s="14" t="n">
        <f aca="false">IF(AND(AF$3&gt;=$C7,AF$3&lt;=$D7),$E7*(1+الافتراضات!$C$31)^INT((AF$3-1)/12),0)</f>
        <v>0</v>
      </c>
      <c r="AG7" s="14" t="n">
        <f aca="false">IF(AND(AG$3&gt;=$C7,AG$3&lt;=$D7),$E7*(1+الافتراضات!$C$31)^INT((AG$3-1)/12),0)</f>
        <v>0</v>
      </c>
      <c r="AH7" s="14" t="n">
        <f aca="false">IF(AND(AH$3&gt;=$C7,AH$3&lt;=$D7),$E7*(1+الافتراضات!$C$31)^INT((AH$3-1)/12),0)</f>
        <v>0</v>
      </c>
      <c r="AI7" s="14" t="n">
        <f aca="false">IF(AND(AI$3&gt;=$C7,AI$3&lt;=$D7),$E7*(1+الافتراضات!$C$31)^INT((AI$3-1)/12),0)</f>
        <v>0</v>
      </c>
      <c r="AJ7" s="14" t="n">
        <f aca="false">IF(AND(AJ$3&gt;=$C7,AJ$3&lt;=$D7),$E7*(1+الافتراضات!$C$31)^INT((AJ$3-1)/12),0)</f>
        <v>0</v>
      </c>
      <c r="AK7" s="14" t="n">
        <f aca="false">IF(AND(AK$3&gt;=$C7,AK$3&lt;=$D7),$E7*(1+الافتراضات!$C$31)^INT((AK$3-1)/12),0)</f>
        <v>0</v>
      </c>
      <c r="AL7" s="14" t="n">
        <f aca="false">IF(AND(AL$3&gt;=$C7,AL$3&lt;=$D7),$E7*(1+الافتراضات!$C$31)^INT((AL$3-1)/12),0)</f>
        <v>0</v>
      </c>
      <c r="AM7" s="14" t="n">
        <f aca="false">IF(AND(AM$3&gt;=$C7,AM$3&lt;=$D7),$E7*(1+الافتراضات!$C$31)^INT((AM$3-1)/12),0)</f>
        <v>0</v>
      </c>
      <c r="AN7" s="14" t="n">
        <f aca="false">IF(AND(AN$3&gt;=$C7,AN$3&lt;=$D7),$E7*(1+الافتراضات!$C$31)^INT((AN$3-1)/12),0)</f>
        <v>0</v>
      </c>
      <c r="AO7" s="14" t="n">
        <f aca="false">IF(AND(AO$3&gt;=$C7,AO$3&lt;=$D7),$E7*(1+الافتراضات!$C$31)^INT((AO$3-1)/12),0)</f>
        <v>0</v>
      </c>
      <c r="AP7" s="14" t="n">
        <f aca="false">IF(AND(AP$3&gt;=$C7,AP$3&lt;=$D7),$E7*(1+الافتراضات!$C$31)^INT((AP$3-1)/12),0)</f>
        <v>0</v>
      </c>
    </row>
    <row r="8" customFormat="false" ht="15" hidden="false" customHeight="false" outlineLevel="0" collapsed="false">
      <c r="A8" s="37" t="s">
        <v>151</v>
      </c>
      <c r="B8" s="37" t="s">
        <v>152</v>
      </c>
      <c r="C8" s="31" t="n">
        <v>7</v>
      </c>
      <c r="D8" s="31" t="n">
        <v>10</v>
      </c>
      <c r="E8" s="34" t="n">
        <v>1200</v>
      </c>
      <c r="G8" s="14" t="n">
        <f aca="false">IF(AND(G$3&gt;=$C8,G$3&lt;=$D8),$E8*(1+الافتراضات!$C$31)^INT((G$3-1)/12),0)</f>
        <v>0</v>
      </c>
      <c r="H8" s="14" t="n">
        <f aca="false">IF(AND(H$3&gt;=$C8,H$3&lt;=$D8),$E8*(1+الافتراضات!$C$31)^INT((H$3-1)/12),0)</f>
        <v>0</v>
      </c>
      <c r="I8" s="14" t="n">
        <f aca="false">IF(AND(I$3&gt;=$C8,I$3&lt;=$D8),$E8*(1+الافتراضات!$C$31)^INT((I$3-1)/12),0)</f>
        <v>0</v>
      </c>
      <c r="J8" s="14" t="n">
        <f aca="false">IF(AND(J$3&gt;=$C8,J$3&lt;=$D8),$E8*(1+الافتراضات!$C$31)^INT((J$3-1)/12),0)</f>
        <v>0</v>
      </c>
      <c r="K8" s="14" t="n">
        <f aca="false">IF(AND(K$3&gt;=$C8,K$3&lt;=$D8),$E8*(1+الافتراضات!$C$31)^INT((K$3-1)/12),0)</f>
        <v>0</v>
      </c>
      <c r="L8" s="14" t="n">
        <f aca="false">IF(AND(L$3&gt;=$C8,L$3&lt;=$D8),$E8*(1+الافتراضات!$C$31)^INT((L$3-1)/12),0)</f>
        <v>0</v>
      </c>
      <c r="M8" s="14" t="n">
        <f aca="false">IF(AND(M$3&gt;=$C8,M$3&lt;=$D8),$E8*(1+الافتراضات!$C$31)^INT((M$3-1)/12),0)</f>
        <v>1200</v>
      </c>
      <c r="N8" s="14" t="n">
        <f aca="false">IF(AND(N$3&gt;=$C8,N$3&lt;=$D8),$E8*(1+الافتراضات!$C$31)^INT((N$3-1)/12),0)</f>
        <v>1200</v>
      </c>
      <c r="O8" s="14" t="n">
        <f aca="false">IF(AND(O$3&gt;=$C8,O$3&lt;=$D8),$E8*(1+الافتراضات!$C$31)^INT((O$3-1)/12),0)</f>
        <v>1200</v>
      </c>
      <c r="P8" s="14" t="n">
        <f aca="false">IF(AND(P$3&gt;=$C8,P$3&lt;=$D8),$E8*(1+الافتراضات!$C$31)^INT((P$3-1)/12),0)</f>
        <v>1200</v>
      </c>
      <c r="Q8" s="14" t="n">
        <f aca="false">IF(AND(Q$3&gt;=$C8,Q$3&lt;=$D8),$E8*(1+الافتراضات!$C$31)^INT((Q$3-1)/12),0)</f>
        <v>0</v>
      </c>
      <c r="R8" s="14" t="n">
        <f aca="false">IF(AND(R$3&gt;=$C8,R$3&lt;=$D8),$E8*(1+الافتراضات!$C$31)^INT((R$3-1)/12),0)</f>
        <v>0</v>
      </c>
      <c r="S8" s="14" t="n">
        <f aca="false">IF(AND(S$3&gt;=$C8,S$3&lt;=$D8),$E8*(1+الافتراضات!$C$31)^INT((S$3-1)/12),0)</f>
        <v>0</v>
      </c>
      <c r="T8" s="14" t="n">
        <f aca="false">IF(AND(T$3&gt;=$C8,T$3&lt;=$D8),$E8*(1+الافتراضات!$C$31)^INT((T$3-1)/12),0)</f>
        <v>0</v>
      </c>
      <c r="U8" s="14" t="n">
        <f aca="false">IF(AND(U$3&gt;=$C8,U$3&lt;=$D8),$E8*(1+الافتراضات!$C$31)^INT((U$3-1)/12),0)</f>
        <v>0</v>
      </c>
      <c r="V8" s="14" t="n">
        <f aca="false">IF(AND(V$3&gt;=$C8,V$3&lt;=$D8),$E8*(1+الافتراضات!$C$31)^INT((V$3-1)/12),0)</f>
        <v>0</v>
      </c>
      <c r="W8" s="14" t="n">
        <f aca="false">IF(AND(W$3&gt;=$C8,W$3&lt;=$D8),$E8*(1+الافتراضات!$C$31)^INT((W$3-1)/12),0)</f>
        <v>0</v>
      </c>
      <c r="X8" s="14" t="n">
        <f aca="false">IF(AND(X$3&gt;=$C8,X$3&lt;=$D8),$E8*(1+الافتراضات!$C$31)^INT((X$3-1)/12),0)</f>
        <v>0</v>
      </c>
      <c r="Y8" s="14" t="n">
        <f aca="false">IF(AND(Y$3&gt;=$C8,Y$3&lt;=$D8),$E8*(1+الافتراضات!$C$31)^INT((Y$3-1)/12),0)</f>
        <v>0</v>
      </c>
      <c r="Z8" s="14" t="n">
        <f aca="false">IF(AND(Z$3&gt;=$C8,Z$3&lt;=$D8),$E8*(1+الافتراضات!$C$31)^INT((Z$3-1)/12),0)</f>
        <v>0</v>
      </c>
      <c r="AA8" s="14" t="n">
        <f aca="false">IF(AND(AA$3&gt;=$C8,AA$3&lt;=$D8),$E8*(1+الافتراضات!$C$31)^INT((AA$3-1)/12),0)</f>
        <v>0</v>
      </c>
      <c r="AB8" s="14" t="n">
        <f aca="false">IF(AND(AB$3&gt;=$C8,AB$3&lt;=$D8),$E8*(1+الافتراضات!$C$31)^INT((AB$3-1)/12),0)</f>
        <v>0</v>
      </c>
      <c r="AC8" s="14" t="n">
        <f aca="false">IF(AND(AC$3&gt;=$C8,AC$3&lt;=$D8),$E8*(1+الافتراضات!$C$31)^INT((AC$3-1)/12),0)</f>
        <v>0</v>
      </c>
      <c r="AD8" s="14" t="n">
        <f aca="false">IF(AND(AD$3&gt;=$C8,AD$3&lt;=$D8),$E8*(1+الافتراضات!$C$31)^INT((AD$3-1)/12),0)</f>
        <v>0</v>
      </c>
      <c r="AE8" s="14" t="n">
        <f aca="false">IF(AND(AE$3&gt;=$C8,AE$3&lt;=$D8),$E8*(1+الافتراضات!$C$31)^INT((AE$3-1)/12),0)</f>
        <v>0</v>
      </c>
      <c r="AF8" s="14" t="n">
        <f aca="false">IF(AND(AF$3&gt;=$C8,AF$3&lt;=$D8),$E8*(1+الافتراضات!$C$31)^INT((AF$3-1)/12),0)</f>
        <v>0</v>
      </c>
      <c r="AG8" s="14" t="n">
        <f aca="false">IF(AND(AG$3&gt;=$C8,AG$3&lt;=$D8),$E8*(1+الافتراضات!$C$31)^INT((AG$3-1)/12),0)</f>
        <v>0</v>
      </c>
      <c r="AH8" s="14" t="n">
        <f aca="false">IF(AND(AH$3&gt;=$C8,AH$3&lt;=$D8),$E8*(1+الافتراضات!$C$31)^INT((AH$3-1)/12),0)</f>
        <v>0</v>
      </c>
      <c r="AI8" s="14" t="n">
        <f aca="false">IF(AND(AI$3&gt;=$C8,AI$3&lt;=$D8),$E8*(1+الافتراضات!$C$31)^INT((AI$3-1)/12),0)</f>
        <v>0</v>
      </c>
      <c r="AJ8" s="14" t="n">
        <f aca="false">IF(AND(AJ$3&gt;=$C8,AJ$3&lt;=$D8),$E8*(1+الافتراضات!$C$31)^INT((AJ$3-1)/12),0)</f>
        <v>0</v>
      </c>
      <c r="AK8" s="14" t="n">
        <f aca="false">IF(AND(AK$3&gt;=$C8,AK$3&lt;=$D8),$E8*(1+الافتراضات!$C$31)^INT((AK$3-1)/12),0)</f>
        <v>0</v>
      </c>
      <c r="AL8" s="14" t="n">
        <f aca="false">IF(AND(AL$3&gt;=$C8,AL$3&lt;=$D8),$E8*(1+الافتراضات!$C$31)^INT((AL$3-1)/12),0)</f>
        <v>0</v>
      </c>
      <c r="AM8" s="14" t="n">
        <f aca="false">IF(AND(AM$3&gt;=$C8,AM$3&lt;=$D8),$E8*(1+الافتراضات!$C$31)^INT((AM$3-1)/12),0)</f>
        <v>0</v>
      </c>
      <c r="AN8" s="14" t="n">
        <f aca="false">IF(AND(AN$3&gt;=$C8,AN$3&lt;=$D8),$E8*(1+الافتراضات!$C$31)^INT((AN$3-1)/12),0)</f>
        <v>0</v>
      </c>
      <c r="AO8" s="14" t="n">
        <f aca="false">IF(AND(AO$3&gt;=$C8,AO$3&lt;=$D8),$E8*(1+الافتراضات!$C$31)^INT((AO$3-1)/12),0)</f>
        <v>0</v>
      </c>
      <c r="AP8" s="14" t="n">
        <f aca="false">IF(AND(AP$3&gt;=$C8,AP$3&lt;=$D8),$E8*(1+الافتراضات!$C$31)^INT((AP$3-1)/12),0)</f>
        <v>0</v>
      </c>
    </row>
    <row r="9" customFormat="false" ht="15" hidden="false" customHeight="false" outlineLevel="0" collapsed="false">
      <c r="A9" s="37" t="s">
        <v>151</v>
      </c>
      <c r="B9" s="37" t="s">
        <v>146</v>
      </c>
      <c r="C9" s="31" t="n">
        <v>11</v>
      </c>
      <c r="D9" s="31" t="n">
        <v>36</v>
      </c>
      <c r="E9" s="34" t="n">
        <v>2000</v>
      </c>
      <c r="G9" s="14" t="n">
        <f aca="false">IF(AND(G$3&gt;=$C9,G$3&lt;=$D9),$E9*(1+الافتراضات!$C$31)^INT((G$3-1)/12),0)</f>
        <v>0</v>
      </c>
      <c r="H9" s="14" t="n">
        <f aca="false">IF(AND(H$3&gt;=$C9,H$3&lt;=$D9),$E9*(1+الافتراضات!$C$31)^INT((H$3-1)/12),0)</f>
        <v>0</v>
      </c>
      <c r="I9" s="14" t="n">
        <f aca="false">IF(AND(I$3&gt;=$C9,I$3&lt;=$D9),$E9*(1+الافتراضات!$C$31)^INT((I$3-1)/12),0)</f>
        <v>0</v>
      </c>
      <c r="J9" s="14" t="n">
        <f aca="false">IF(AND(J$3&gt;=$C9,J$3&lt;=$D9),$E9*(1+الافتراضات!$C$31)^INT((J$3-1)/12),0)</f>
        <v>0</v>
      </c>
      <c r="K9" s="14" t="n">
        <f aca="false">IF(AND(K$3&gt;=$C9,K$3&lt;=$D9),$E9*(1+الافتراضات!$C$31)^INT((K$3-1)/12),0)</f>
        <v>0</v>
      </c>
      <c r="L9" s="14" t="n">
        <f aca="false">IF(AND(L$3&gt;=$C9,L$3&lt;=$D9),$E9*(1+الافتراضات!$C$31)^INT((L$3-1)/12),0)</f>
        <v>0</v>
      </c>
      <c r="M9" s="14" t="n">
        <f aca="false">IF(AND(M$3&gt;=$C9,M$3&lt;=$D9),$E9*(1+الافتراضات!$C$31)^INT((M$3-1)/12),0)</f>
        <v>0</v>
      </c>
      <c r="N9" s="14" t="n">
        <f aca="false">IF(AND(N$3&gt;=$C9,N$3&lt;=$D9),$E9*(1+الافتراضات!$C$31)^INT((N$3-1)/12),0)</f>
        <v>0</v>
      </c>
      <c r="O9" s="14" t="n">
        <f aca="false">IF(AND(O$3&gt;=$C9,O$3&lt;=$D9),$E9*(1+الافتراضات!$C$31)^INT((O$3-1)/12),0)</f>
        <v>0</v>
      </c>
      <c r="P9" s="14" t="n">
        <f aca="false">IF(AND(P$3&gt;=$C9,P$3&lt;=$D9),$E9*(1+الافتراضات!$C$31)^INT((P$3-1)/12),0)</f>
        <v>0</v>
      </c>
      <c r="Q9" s="14" t="n">
        <f aca="false">IF(AND(Q$3&gt;=$C9,Q$3&lt;=$D9),$E9*(1+الافتراضات!$C$31)^INT((Q$3-1)/12),0)</f>
        <v>2000</v>
      </c>
      <c r="R9" s="14" t="n">
        <f aca="false">IF(AND(R$3&gt;=$C9,R$3&lt;=$D9),$E9*(1+الافتراضات!$C$31)^INT((R$3-1)/12),0)</f>
        <v>2000</v>
      </c>
      <c r="S9" s="14" t="n">
        <f aca="false">IF(AND(S$3&gt;=$C9,S$3&lt;=$D9),$E9*(1+الافتراضات!$C$31)^INT((S$3-1)/12),0)</f>
        <v>2100</v>
      </c>
      <c r="T9" s="14" t="n">
        <f aca="false">IF(AND(T$3&gt;=$C9,T$3&lt;=$D9),$E9*(1+الافتراضات!$C$31)^INT((T$3-1)/12),0)</f>
        <v>2100</v>
      </c>
      <c r="U9" s="14" t="n">
        <f aca="false">IF(AND(U$3&gt;=$C9,U$3&lt;=$D9),$E9*(1+الافتراضات!$C$31)^INT((U$3-1)/12),0)</f>
        <v>2100</v>
      </c>
      <c r="V9" s="14" t="n">
        <f aca="false">IF(AND(V$3&gt;=$C9,V$3&lt;=$D9),$E9*(1+الافتراضات!$C$31)^INT((V$3-1)/12),0)</f>
        <v>2100</v>
      </c>
      <c r="W9" s="14" t="n">
        <f aca="false">IF(AND(W$3&gt;=$C9,W$3&lt;=$D9),$E9*(1+الافتراضات!$C$31)^INT((W$3-1)/12),0)</f>
        <v>2100</v>
      </c>
      <c r="X9" s="14" t="n">
        <f aca="false">IF(AND(X$3&gt;=$C9,X$3&lt;=$D9),$E9*(1+الافتراضات!$C$31)^INT((X$3-1)/12),0)</f>
        <v>2100</v>
      </c>
      <c r="Y9" s="14" t="n">
        <f aca="false">IF(AND(Y$3&gt;=$C9,Y$3&lt;=$D9),$E9*(1+الافتراضات!$C$31)^INT((Y$3-1)/12),0)</f>
        <v>2100</v>
      </c>
      <c r="Z9" s="14" t="n">
        <f aca="false">IF(AND(Z$3&gt;=$C9,Z$3&lt;=$D9),$E9*(1+الافتراضات!$C$31)^INT((Z$3-1)/12),0)</f>
        <v>2100</v>
      </c>
      <c r="AA9" s="14" t="n">
        <f aca="false">IF(AND(AA$3&gt;=$C9,AA$3&lt;=$D9),$E9*(1+الافتراضات!$C$31)^INT((AA$3-1)/12),0)</f>
        <v>2100</v>
      </c>
      <c r="AB9" s="14" t="n">
        <f aca="false">IF(AND(AB$3&gt;=$C9,AB$3&lt;=$D9),$E9*(1+الافتراضات!$C$31)^INT((AB$3-1)/12),0)</f>
        <v>2100</v>
      </c>
      <c r="AC9" s="14" t="n">
        <f aca="false">IF(AND(AC$3&gt;=$C9,AC$3&lt;=$D9),$E9*(1+الافتراضات!$C$31)^INT((AC$3-1)/12),0)</f>
        <v>2100</v>
      </c>
      <c r="AD9" s="14" t="n">
        <f aca="false">IF(AND(AD$3&gt;=$C9,AD$3&lt;=$D9),$E9*(1+الافتراضات!$C$31)^INT((AD$3-1)/12),0)</f>
        <v>2100</v>
      </c>
      <c r="AE9" s="14" t="n">
        <f aca="false">IF(AND(AE$3&gt;=$C9,AE$3&lt;=$D9),$E9*(1+الافتراضات!$C$31)^INT((AE$3-1)/12),0)</f>
        <v>2205</v>
      </c>
      <c r="AF9" s="14" t="n">
        <f aca="false">IF(AND(AF$3&gt;=$C9,AF$3&lt;=$D9),$E9*(1+الافتراضات!$C$31)^INT((AF$3-1)/12),0)</f>
        <v>2205</v>
      </c>
      <c r="AG9" s="14" t="n">
        <f aca="false">IF(AND(AG$3&gt;=$C9,AG$3&lt;=$D9),$E9*(1+الافتراضات!$C$31)^INT((AG$3-1)/12),0)</f>
        <v>2205</v>
      </c>
      <c r="AH9" s="14" t="n">
        <f aca="false">IF(AND(AH$3&gt;=$C9,AH$3&lt;=$D9),$E9*(1+الافتراضات!$C$31)^INT((AH$3-1)/12),0)</f>
        <v>2205</v>
      </c>
      <c r="AI9" s="14" t="n">
        <f aca="false">IF(AND(AI$3&gt;=$C9,AI$3&lt;=$D9),$E9*(1+الافتراضات!$C$31)^INT((AI$3-1)/12),0)</f>
        <v>2205</v>
      </c>
      <c r="AJ9" s="14" t="n">
        <f aca="false">IF(AND(AJ$3&gt;=$C9,AJ$3&lt;=$D9),$E9*(1+الافتراضات!$C$31)^INT((AJ$3-1)/12),0)</f>
        <v>2205</v>
      </c>
      <c r="AK9" s="14" t="n">
        <f aca="false">IF(AND(AK$3&gt;=$C9,AK$3&lt;=$D9),$E9*(1+الافتراضات!$C$31)^INT((AK$3-1)/12),0)</f>
        <v>2205</v>
      </c>
      <c r="AL9" s="14" t="n">
        <f aca="false">IF(AND(AL$3&gt;=$C9,AL$3&lt;=$D9),$E9*(1+الافتراضات!$C$31)^INT((AL$3-1)/12),0)</f>
        <v>2205</v>
      </c>
      <c r="AM9" s="14" t="n">
        <f aca="false">IF(AND(AM$3&gt;=$C9,AM$3&lt;=$D9),$E9*(1+الافتراضات!$C$31)^INT((AM$3-1)/12),0)</f>
        <v>2205</v>
      </c>
      <c r="AN9" s="14" t="n">
        <f aca="false">IF(AND(AN$3&gt;=$C9,AN$3&lt;=$D9),$E9*(1+الافتراضات!$C$31)^INT((AN$3-1)/12),0)</f>
        <v>2205</v>
      </c>
      <c r="AO9" s="14" t="n">
        <f aca="false">IF(AND(AO$3&gt;=$C9,AO$3&lt;=$D9),$E9*(1+الافتراضات!$C$31)^INT((AO$3-1)/12),0)</f>
        <v>2205</v>
      </c>
      <c r="AP9" s="14" t="n">
        <f aca="false">IF(AND(AP$3&gt;=$C9,AP$3&lt;=$D9),$E9*(1+الافتراضات!$C$31)^INT((AP$3-1)/12),0)</f>
        <v>2205</v>
      </c>
    </row>
    <row r="10" customFormat="false" ht="15" hidden="false" customHeight="false" outlineLevel="0" collapsed="false">
      <c r="A10" s="37" t="s">
        <v>153</v>
      </c>
      <c r="B10" s="37" t="s">
        <v>146</v>
      </c>
      <c r="C10" s="31" t="n">
        <v>12</v>
      </c>
      <c r="D10" s="31" t="n">
        <v>36</v>
      </c>
      <c r="E10" s="34" t="n">
        <v>4000</v>
      </c>
      <c r="G10" s="14" t="n">
        <f aca="false">IF(AND(G$3&gt;=$C10,G$3&lt;=$D10),$E10*(1+الافتراضات!$C$31)^INT((G$3-1)/12),0)</f>
        <v>0</v>
      </c>
      <c r="H10" s="14" t="n">
        <f aca="false">IF(AND(H$3&gt;=$C10,H$3&lt;=$D10),$E10*(1+الافتراضات!$C$31)^INT((H$3-1)/12),0)</f>
        <v>0</v>
      </c>
      <c r="I10" s="14" t="n">
        <f aca="false">IF(AND(I$3&gt;=$C10,I$3&lt;=$D10),$E10*(1+الافتراضات!$C$31)^INT((I$3-1)/12),0)</f>
        <v>0</v>
      </c>
      <c r="J10" s="14" t="n">
        <f aca="false">IF(AND(J$3&gt;=$C10,J$3&lt;=$D10),$E10*(1+الافتراضات!$C$31)^INT((J$3-1)/12),0)</f>
        <v>0</v>
      </c>
      <c r="K10" s="14" t="n">
        <f aca="false">IF(AND(K$3&gt;=$C10,K$3&lt;=$D10),$E10*(1+الافتراضات!$C$31)^INT((K$3-1)/12),0)</f>
        <v>0</v>
      </c>
      <c r="L10" s="14" t="n">
        <f aca="false">IF(AND(L$3&gt;=$C10,L$3&lt;=$D10),$E10*(1+الافتراضات!$C$31)^INT((L$3-1)/12),0)</f>
        <v>0</v>
      </c>
      <c r="M10" s="14" t="n">
        <f aca="false">IF(AND(M$3&gt;=$C10,M$3&lt;=$D10),$E10*(1+الافتراضات!$C$31)^INT((M$3-1)/12),0)</f>
        <v>0</v>
      </c>
      <c r="N10" s="14" t="n">
        <f aca="false">IF(AND(N$3&gt;=$C10,N$3&lt;=$D10),$E10*(1+الافتراضات!$C$31)^INT((N$3-1)/12),0)</f>
        <v>0</v>
      </c>
      <c r="O10" s="14" t="n">
        <f aca="false">IF(AND(O$3&gt;=$C10,O$3&lt;=$D10),$E10*(1+الافتراضات!$C$31)^INT((O$3-1)/12),0)</f>
        <v>0</v>
      </c>
      <c r="P10" s="14" t="n">
        <f aca="false">IF(AND(P$3&gt;=$C10,P$3&lt;=$D10),$E10*(1+الافتراضات!$C$31)^INT((P$3-1)/12),0)</f>
        <v>0</v>
      </c>
      <c r="Q10" s="14" t="n">
        <f aca="false">IF(AND(Q$3&gt;=$C10,Q$3&lt;=$D10),$E10*(1+الافتراضات!$C$31)^INT((Q$3-1)/12),0)</f>
        <v>0</v>
      </c>
      <c r="R10" s="14" t="n">
        <f aca="false">IF(AND(R$3&gt;=$C10,R$3&lt;=$D10),$E10*(1+الافتراضات!$C$31)^INT((R$3-1)/12),0)</f>
        <v>4000</v>
      </c>
      <c r="S10" s="14" t="n">
        <f aca="false">IF(AND(S$3&gt;=$C10,S$3&lt;=$D10),$E10*(1+الافتراضات!$C$31)^INT((S$3-1)/12),0)</f>
        <v>4200</v>
      </c>
      <c r="T10" s="14" t="n">
        <f aca="false">IF(AND(T$3&gt;=$C10,T$3&lt;=$D10),$E10*(1+الافتراضات!$C$31)^INT((T$3-1)/12),0)</f>
        <v>4200</v>
      </c>
      <c r="U10" s="14" t="n">
        <f aca="false">IF(AND(U$3&gt;=$C10,U$3&lt;=$D10),$E10*(1+الافتراضات!$C$31)^INT((U$3-1)/12),0)</f>
        <v>4200</v>
      </c>
      <c r="V10" s="14" t="n">
        <f aca="false">IF(AND(V$3&gt;=$C10,V$3&lt;=$D10),$E10*(1+الافتراضات!$C$31)^INT((V$3-1)/12),0)</f>
        <v>4200</v>
      </c>
      <c r="W10" s="14" t="n">
        <f aca="false">IF(AND(W$3&gt;=$C10,W$3&lt;=$D10),$E10*(1+الافتراضات!$C$31)^INT((W$3-1)/12),0)</f>
        <v>4200</v>
      </c>
      <c r="X10" s="14" t="n">
        <f aca="false">IF(AND(X$3&gt;=$C10,X$3&lt;=$D10),$E10*(1+الافتراضات!$C$31)^INT((X$3-1)/12),0)</f>
        <v>4200</v>
      </c>
      <c r="Y10" s="14" t="n">
        <f aca="false">IF(AND(Y$3&gt;=$C10,Y$3&lt;=$D10),$E10*(1+الافتراضات!$C$31)^INT((Y$3-1)/12),0)</f>
        <v>4200</v>
      </c>
      <c r="Z10" s="14" t="n">
        <f aca="false">IF(AND(Z$3&gt;=$C10,Z$3&lt;=$D10),$E10*(1+الافتراضات!$C$31)^INT((Z$3-1)/12),0)</f>
        <v>4200</v>
      </c>
      <c r="AA10" s="14" t="n">
        <f aca="false">IF(AND(AA$3&gt;=$C10,AA$3&lt;=$D10),$E10*(1+الافتراضات!$C$31)^INT((AA$3-1)/12),0)</f>
        <v>4200</v>
      </c>
      <c r="AB10" s="14" t="n">
        <f aca="false">IF(AND(AB$3&gt;=$C10,AB$3&lt;=$D10),$E10*(1+الافتراضات!$C$31)^INT((AB$3-1)/12),0)</f>
        <v>4200</v>
      </c>
      <c r="AC10" s="14" t="n">
        <f aca="false">IF(AND(AC$3&gt;=$C10,AC$3&lt;=$D10),$E10*(1+الافتراضات!$C$31)^INT((AC$3-1)/12),0)</f>
        <v>4200</v>
      </c>
      <c r="AD10" s="14" t="n">
        <f aca="false">IF(AND(AD$3&gt;=$C10,AD$3&lt;=$D10),$E10*(1+الافتراضات!$C$31)^INT((AD$3-1)/12),0)</f>
        <v>4200</v>
      </c>
      <c r="AE10" s="14" t="n">
        <f aca="false">IF(AND(AE$3&gt;=$C10,AE$3&lt;=$D10),$E10*(1+الافتراضات!$C$31)^INT((AE$3-1)/12),0)</f>
        <v>4410</v>
      </c>
      <c r="AF10" s="14" t="n">
        <f aca="false">IF(AND(AF$3&gt;=$C10,AF$3&lt;=$D10),$E10*(1+الافتراضات!$C$31)^INT((AF$3-1)/12),0)</f>
        <v>4410</v>
      </c>
      <c r="AG10" s="14" t="n">
        <f aca="false">IF(AND(AG$3&gt;=$C10,AG$3&lt;=$D10),$E10*(1+الافتراضات!$C$31)^INT((AG$3-1)/12),0)</f>
        <v>4410</v>
      </c>
      <c r="AH10" s="14" t="n">
        <f aca="false">IF(AND(AH$3&gt;=$C10,AH$3&lt;=$D10),$E10*(1+الافتراضات!$C$31)^INT((AH$3-1)/12),0)</f>
        <v>4410</v>
      </c>
      <c r="AI10" s="14" t="n">
        <f aca="false">IF(AND(AI$3&gt;=$C10,AI$3&lt;=$D10),$E10*(1+الافتراضات!$C$31)^INT((AI$3-1)/12),0)</f>
        <v>4410</v>
      </c>
      <c r="AJ10" s="14" t="n">
        <f aca="false">IF(AND(AJ$3&gt;=$C10,AJ$3&lt;=$D10),$E10*(1+الافتراضات!$C$31)^INT((AJ$3-1)/12),0)</f>
        <v>4410</v>
      </c>
      <c r="AK10" s="14" t="n">
        <f aca="false">IF(AND(AK$3&gt;=$C10,AK$3&lt;=$D10),$E10*(1+الافتراضات!$C$31)^INT((AK$3-1)/12),0)</f>
        <v>4410</v>
      </c>
      <c r="AL10" s="14" t="n">
        <f aca="false">IF(AND(AL$3&gt;=$C10,AL$3&lt;=$D10),$E10*(1+الافتراضات!$C$31)^INT((AL$3-1)/12),0)</f>
        <v>4410</v>
      </c>
      <c r="AM10" s="14" t="n">
        <f aca="false">IF(AND(AM$3&gt;=$C10,AM$3&lt;=$D10),$E10*(1+الافتراضات!$C$31)^INT((AM$3-1)/12),0)</f>
        <v>4410</v>
      </c>
      <c r="AN10" s="14" t="n">
        <f aca="false">IF(AND(AN$3&gt;=$C10,AN$3&lt;=$D10),$E10*(1+الافتراضات!$C$31)^INT((AN$3-1)/12),0)</f>
        <v>4410</v>
      </c>
      <c r="AO10" s="14" t="n">
        <f aca="false">IF(AND(AO$3&gt;=$C10,AO$3&lt;=$D10),$E10*(1+الافتراضات!$C$31)^INT((AO$3-1)/12),0)</f>
        <v>4410</v>
      </c>
      <c r="AP10" s="14" t="n">
        <f aca="false">IF(AND(AP$3&gt;=$C10,AP$3&lt;=$D10),$E10*(1+الافتراضات!$C$31)^INT((AP$3-1)/12),0)</f>
        <v>4410</v>
      </c>
    </row>
    <row r="11" customFormat="false" ht="15" hidden="false" customHeight="false" outlineLevel="0" collapsed="false">
      <c r="A11" s="37" t="s">
        <v>154</v>
      </c>
      <c r="B11" s="37" t="s">
        <v>146</v>
      </c>
      <c r="C11" s="31" t="n">
        <v>12</v>
      </c>
      <c r="D11" s="31" t="n">
        <v>36</v>
      </c>
      <c r="E11" s="34" t="n">
        <v>2500</v>
      </c>
      <c r="G11" s="14" t="n">
        <f aca="false">IF(AND(G$3&gt;=$C11,G$3&lt;=$D11),$E11*(1+الافتراضات!$C$31)^INT((G$3-1)/12),0)</f>
        <v>0</v>
      </c>
      <c r="H11" s="14" t="n">
        <f aca="false">IF(AND(H$3&gt;=$C11,H$3&lt;=$D11),$E11*(1+الافتراضات!$C$31)^INT((H$3-1)/12),0)</f>
        <v>0</v>
      </c>
      <c r="I11" s="14" t="n">
        <f aca="false">IF(AND(I$3&gt;=$C11,I$3&lt;=$D11),$E11*(1+الافتراضات!$C$31)^INT((I$3-1)/12),0)</f>
        <v>0</v>
      </c>
      <c r="J11" s="14" t="n">
        <f aca="false">IF(AND(J$3&gt;=$C11,J$3&lt;=$D11),$E11*(1+الافتراضات!$C$31)^INT((J$3-1)/12),0)</f>
        <v>0</v>
      </c>
      <c r="K11" s="14" t="n">
        <f aca="false">IF(AND(K$3&gt;=$C11,K$3&lt;=$D11),$E11*(1+الافتراضات!$C$31)^INT((K$3-1)/12),0)</f>
        <v>0</v>
      </c>
      <c r="L11" s="14" t="n">
        <f aca="false">IF(AND(L$3&gt;=$C11,L$3&lt;=$D11),$E11*(1+الافتراضات!$C$31)^INT((L$3-1)/12),0)</f>
        <v>0</v>
      </c>
      <c r="M11" s="14" t="n">
        <f aca="false">IF(AND(M$3&gt;=$C11,M$3&lt;=$D11),$E11*(1+الافتراضات!$C$31)^INT((M$3-1)/12),0)</f>
        <v>0</v>
      </c>
      <c r="N11" s="14" t="n">
        <f aca="false">IF(AND(N$3&gt;=$C11,N$3&lt;=$D11),$E11*(1+الافتراضات!$C$31)^INT((N$3-1)/12),0)</f>
        <v>0</v>
      </c>
      <c r="O11" s="14" t="n">
        <f aca="false">IF(AND(O$3&gt;=$C11,O$3&lt;=$D11),$E11*(1+الافتراضات!$C$31)^INT((O$3-1)/12),0)</f>
        <v>0</v>
      </c>
      <c r="P11" s="14" t="n">
        <f aca="false">IF(AND(P$3&gt;=$C11,P$3&lt;=$D11),$E11*(1+الافتراضات!$C$31)^INT((P$3-1)/12),0)</f>
        <v>0</v>
      </c>
      <c r="Q11" s="14" t="n">
        <f aca="false">IF(AND(Q$3&gt;=$C11,Q$3&lt;=$D11),$E11*(1+الافتراضات!$C$31)^INT((Q$3-1)/12),0)</f>
        <v>0</v>
      </c>
      <c r="R11" s="14" t="n">
        <f aca="false">IF(AND(R$3&gt;=$C11,R$3&lt;=$D11),$E11*(1+الافتراضات!$C$31)^INT((R$3-1)/12),0)</f>
        <v>2500</v>
      </c>
      <c r="S11" s="14" t="n">
        <f aca="false">IF(AND(S$3&gt;=$C11,S$3&lt;=$D11),$E11*(1+الافتراضات!$C$31)^INT((S$3-1)/12),0)</f>
        <v>2625</v>
      </c>
      <c r="T11" s="14" t="n">
        <f aca="false">IF(AND(T$3&gt;=$C11,T$3&lt;=$D11),$E11*(1+الافتراضات!$C$31)^INT((T$3-1)/12),0)</f>
        <v>2625</v>
      </c>
      <c r="U11" s="14" t="n">
        <f aca="false">IF(AND(U$3&gt;=$C11,U$3&lt;=$D11),$E11*(1+الافتراضات!$C$31)^INT((U$3-1)/12),0)</f>
        <v>2625</v>
      </c>
      <c r="V11" s="14" t="n">
        <f aca="false">IF(AND(V$3&gt;=$C11,V$3&lt;=$D11),$E11*(1+الافتراضات!$C$31)^INT((V$3-1)/12),0)</f>
        <v>2625</v>
      </c>
      <c r="W11" s="14" t="n">
        <f aca="false">IF(AND(W$3&gt;=$C11,W$3&lt;=$D11),$E11*(1+الافتراضات!$C$31)^INT((W$3-1)/12),0)</f>
        <v>2625</v>
      </c>
      <c r="X11" s="14" t="n">
        <f aca="false">IF(AND(X$3&gt;=$C11,X$3&lt;=$D11),$E11*(1+الافتراضات!$C$31)^INT((X$3-1)/12),0)</f>
        <v>2625</v>
      </c>
      <c r="Y11" s="14" t="n">
        <f aca="false">IF(AND(Y$3&gt;=$C11,Y$3&lt;=$D11),$E11*(1+الافتراضات!$C$31)^INT((Y$3-1)/12),0)</f>
        <v>2625</v>
      </c>
      <c r="Z11" s="14" t="n">
        <f aca="false">IF(AND(Z$3&gt;=$C11,Z$3&lt;=$D11),$E11*(1+الافتراضات!$C$31)^INT((Z$3-1)/12),0)</f>
        <v>2625</v>
      </c>
      <c r="AA11" s="14" t="n">
        <f aca="false">IF(AND(AA$3&gt;=$C11,AA$3&lt;=$D11),$E11*(1+الافتراضات!$C$31)^INT((AA$3-1)/12),0)</f>
        <v>2625</v>
      </c>
      <c r="AB11" s="14" t="n">
        <f aca="false">IF(AND(AB$3&gt;=$C11,AB$3&lt;=$D11),$E11*(1+الافتراضات!$C$31)^INT((AB$3-1)/12),0)</f>
        <v>2625</v>
      </c>
      <c r="AC11" s="14" t="n">
        <f aca="false">IF(AND(AC$3&gt;=$C11,AC$3&lt;=$D11),$E11*(1+الافتراضات!$C$31)^INT((AC$3-1)/12),0)</f>
        <v>2625</v>
      </c>
      <c r="AD11" s="14" t="n">
        <f aca="false">IF(AND(AD$3&gt;=$C11,AD$3&lt;=$D11),$E11*(1+الافتراضات!$C$31)^INT((AD$3-1)/12),0)</f>
        <v>2625</v>
      </c>
      <c r="AE11" s="14" t="n">
        <f aca="false">IF(AND(AE$3&gt;=$C11,AE$3&lt;=$D11),$E11*(1+الافتراضات!$C$31)^INT((AE$3-1)/12),0)</f>
        <v>2756.25</v>
      </c>
      <c r="AF11" s="14" t="n">
        <f aca="false">IF(AND(AF$3&gt;=$C11,AF$3&lt;=$D11),$E11*(1+الافتراضات!$C$31)^INT((AF$3-1)/12),0)</f>
        <v>2756.25</v>
      </c>
      <c r="AG11" s="14" t="n">
        <f aca="false">IF(AND(AG$3&gt;=$C11,AG$3&lt;=$D11),$E11*(1+الافتراضات!$C$31)^INT((AG$3-1)/12),0)</f>
        <v>2756.25</v>
      </c>
      <c r="AH11" s="14" t="n">
        <f aca="false">IF(AND(AH$3&gt;=$C11,AH$3&lt;=$D11),$E11*(1+الافتراضات!$C$31)^INT((AH$3-1)/12),0)</f>
        <v>2756.25</v>
      </c>
      <c r="AI11" s="14" t="n">
        <f aca="false">IF(AND(AI$3&gt;=$C11,AI$3&lt;=$D11),$E11*(1+الافتراضات!$C$31)^INT((AI$3-1)/12),0)</f>
        <v>2756.25</v>
      </c>
      <c r="AJ11" s="14" t="n">
        <f aca="false">IF(AND(AJ$3&gt;=$C11,AJ$3&lt;=$D11),$E11*(1+الافتراضات!$C$31)^INT((AJ$3-1)/12),0)</f>
        <v>2756.25</v>
      </c>
      <c r="AK11" s="14" t="n">
        <f aca="false">IF(AND(AK$3&gt;=$C11,AK$3&lt;=$D11),$E11*(1+الافتراضات!$C$31)^INT((AK$3-1)/12),0)</f>
        <v>2756.25</v>
      </c>
      <c r="AL11" s="14" t="n">
        <f aca="false">IF(AND(AL$3&gt;=$C11,AL$3&lt;=$D11),$E11*(1+الافتراضات!$C$31)^INT((AL$3-1)/12),0)</f>
        <v>2756.25</v>
      </c>
      <c r="AM11" s="14" t="n">
        <f aca="false">IF(AND(AM$3&gt;=$C11,AM$3&lt;=$D11),$E11*(1+الافتراضات!$C$31)^INT((AM$3-1)/12),0)</f>
        <v>2756.25</v>
      </c>
      <c r="AN11" s="14" t="n">
        <f aca="false">IF(AND(AN$3&gt;=$C11,AN$3&lt;=$D11),$E11*(1+الافتراضات!$C$31)^INT((AN$3-1)/12),0)</f>
        <v>2756.25</v>
      </c>
      <c r="AO11" s="14" t="n">
        <f aca="false">IF(AND(AO$3&gt;=$C11,AO$3&lt;=$D11),$E11*(1+الافتراضات!$C$31)^INT((AO$3-1)/12),0)</f>
        <v>2756.25</v>
      </c>
      <c r="AP11" s="14" t="n">
        <f aca="false">IF(AND(AP$3&gt;=$C11,AP$3&lt;=$D11),$E11*(1+الافتراضات!$C$31)^INT((AP$3-1)/12),0)</f>
        <v>2756.25</v>
      </c>
    </row>
    <row r="12" customFormat="false" ht="15" hidden="false" customHeight="false" outlineLevel="0" collapsed="false">
      <c r="A12" s="37" t="s">
        <v>155</v>
      </c>
      <c r="B12" s="37" t="s">
        <v>146</v>
      </c>
      <c r="C12" s="31" t="n">
        <v>12</v>
      </c>
      <c r="D12" s="31" t="n">
        <v>36</v>
      </c>
      <c r="E12" s="34" t="n">
        <v>2500</v>
      </c>
      <c r="G12" s="14" t="n">
        <f aca="false">IF(AND(G$3&gt;=$C12,G$3&lt;=$D12),$E12*(1+الافتراضات!$C$31)^INT((G$3-1)/12),0)</f>
        <v>0</v>
      </c>
      <c r="H12" s="14" t="n">
        <f aca="false">IF(AND(H$3&gt;=$C12,H$3&lt;=$D12),$E12*(1+الافتراضات!$C$31)^INT((H$3-1)/12),0)</f>
        <v>0</v>
      </c>
      <c r="I12" s="14" t="n">
        <f aca="false">IF(AND(I$3&gt;=$C12,I$3&lt;=$D12),$E12*(1+الافتراضات!$C$31)^INT((I$3-1)/12),0)</f>
        <v>0</v>
      </c>
      <c r="J12" s="14" t="n">
        <f aca="false">IF(AND(J$3&gt;=$C12,J$3&lt;=$D12),$E12*(1+الافتراضات!$C$31)^INT((J$3-1)/12),0)</f>
        <v>0</v>
      </c>
      <c r="K12" s="14" t="n">
        <f aca="false">IF(AND(K$3&gt;=$C12,K$3&lt;=$D12),$E12*(1+الافتراضات!$C$31)^INT((K$3-1)/12),0)</f>
        <v>0</v>
      </c>
      <c r="L12" s="14" t="n">
        <f aca="false">IF(AND(L$3&gt;=$C12,L$3&lt;=$D12),$E12*(1+الافتراضات!$C$31)^INT((L$3-1)/12),0)</f>
        <v>0</v>
      </c>
      <c r="M12" s="14" t="n">
        <f aca="false">IF(AND(M$3&gt;=$C12,M$3&lt;=$D12),$E12*(1+الافتراضات!$C$31)^INT((M$3-1)/12),0)</f>
        <v>0</v>
      </c>
      <c r="N12" s="14" t="n">
        <f aca="false">IF(AND(N$3&gt;=$C12,N$3&lt;=$D12),$E12*(1+الافتراضات!$C$31)^INT((N$3-1)/12),0)</f>
        <v>0</v>
      </c>
      <c r="O12" s="14" t="n">
        <f aca="false">IF(AND(O$3&gt;=$C12,O$3&lt;=$D12),$E12*(1+الافتراضات!$C$31)^INT((O$3-1)/12),0)</f>
        <v>0</v>
      </c>
      <c r="P12" s="14" t="n">
        <f aca="false">IF(AND(P$3&gt;=$C12,P$3&lt;=$D12),$E12*(1+الافتراضات!$C$31)^INT((P$3-1)/12),0)</f>
        <v>0</v>
      </c>
      <c r="Q12" s="14" t="n">
        <f aca="false">IF(AND(Q$3&gt;=$C12,Q$3&lt;=$D12),$E12*(1+الافتراضات!$C$31)^INT((Q$3-1)/12),0)</f>
        <v>0</v>
      </c>
      <c r="R12" s="14" t="n">
        <f aca="false">IF(AND(R$3&gt;=$C12,R$3&lt;=$D12),$E12*(1+الافتراضات!$C$31)^INT((R$3-1)/12),0)</f>
        <v>2500</v>
      </c>
      <c r="S12" s="14" t="n">
        <f aca="false">IF(AND(S$3&gt;=$C12,S$3&lt;=$D12),$E12*(1+الافتراضات!$C$31)^INT((S$3-1)/12),0)</f>
        <v>2625</v>
      </c>
      <c r="T12" s="14" t="n">
        <f aca="false">IF(AND(T$3&gt;=$C12,T$3&lt;=$D12),$E12*(1+الافتراضات!$C$31)^INT((T$3-1)/12),0)</f>
        <v>2625</v>
      </c>
      <c r="U12" s="14" t="n">
        <f aca="false">IF(AND(U$3&gt;=$C12,U$3&lt;=$D12),$E12*(1+الافتراضات!$C$31)^INT((U$3-1)/12),0)</f>
        <v>2625</v>
      </c>
      <c r="V12" s="14" t="n">
        <f aca="false">IF(AND(V$3&gt;=$C12,V$3&lt;=$D12),$E12*(1+الافتراضات!$C$31)^INT((V$3-1)/12),0)</f>
        <v>2625</v>
      </c>
      <c r="W12" s="14" t="n">
        <f aca="false">IF(AND(W$3&gt;=$C12,W$3&lt;=$D12),$E12*(1+الافتراضات!$C$31)^INT((W$3-1)/12),0)</f>
        <v>2625</v>
      </c>
      <c r="X12" s="14" t="n">
        <f aca="false">IF(AND(X$3&gt;=$C12,X$3&lt;=$D12),$E12*(1+الافتراضات!$C$31)^INT((X$3-1)/12),0)</f>
        <v>2625</v>
      </c>
      <c r="Y12" s="14" t="n">
        <f aca="false">IF(AND(Y$3&gt;=$C12,Y$3&lt;=$D12),$E12*(1+الافتراضات!$C$31)^INT((Y$3-1)/12),0)</f>
        <v>2625</v>
      </c>
      <c r="Z12" s="14" t="n">
        <f aca="false">IF(AND(Z$3&gt;=$C12,Z$3&lt;=$D12),$E12*(1+الافتراضات!$C$31)^INT((Z$3-1)/12),0)</f>
        <v>2625</v>
      </c>
      <c r="AA12" s="14" t="n">
        <f aca="false">IF(AND(AA$3&gt;=$C12,AA$3&lt;=$D12),$E12*(1+الافتراضات!$C$31)^INT((AA$3-1)/12),0)</f>
        <v>2625</v>
      </c>
      <c r="AB12" s="14" t="n">
        <f aca="false">IF(AND(AB$3&gt;=$C12,AB$3&lt;=$D12),$E12*(1+الافتراضات!$C$31)^INT((AB$3-1)/12),0)</f>
        <v>2625</v>
      </c>
      <c r="AC12" s="14" t="n">
        <f aca="false">IF(AND(AC$3&gt;=$C12,AC$3&lt;=$D12),$E12*(1+الافتراضات!$C$31)^INT((AC$3-1)/12),0)</f>
        <v>2625</v>
      </c>
      <c r="AD12" s="14" t="n">
        <f aca="false">IF(AND(AD$3&gt;=$C12,AD$3&lt;=$D12),$E12*(1+الافتراضات!$C$31)^INT((AD$3-1)/12),0)</f>
        <v>2625</v>
      </c>
      <c r="AE12" s="14" t="n">
        <f aca="false">IF(AND(AE$3&gt;=$C12,AE$3&lt;=$D12),$E12*(1+الافتراضات!$C$31)^INT((AE$3-1)/12),0)</f>
        <v>2756.25</v>
      </c>
      <c r="AF12" s="14" t="n">
        <f aca="false">IF(AND(AF$3&gt;=$C12,AF$3&lt;=$D12),$E12*(1+الافتراضات!$C$31)^INT((AF$3-1)/12),0)</f>
        <v>2756.25</v>
      </c>
      <c r="AG12" s="14" t="n">
        <f aca="false">IF(AND(AG$3&gt;=$C12,AG$3&lt;=$D12),$E12*(1+الافتراضات!$C$31)^INT((AG$3-1)/12),0)</f>
        <v>2756.25</v>
      </c>
      <c r="AH12" s="14" t="n">
        <f aca="false">IF(AND(AH$3&gt;=$C12,AH$3&lt;=$D12),$E12*(1+الافتراضات!$C$31)^INT((AH$3-1)/12),0)</f>
        <v>2756.25</v>
      </c>
      <c r="AI12" s="14" t="n">
        <f aca="false">IF(AND(AI$3&gt;=$C12,AI$3&lt;=$D12),$E12*(1+الافتراضات!$C$31)^INT((AI$3-1)/12),0)</f>
        <v>2756.25</v>
      </c>
      <c r="AJ12" s="14" t="n">
        <f aca="false">IF(AND(AJ$3&gt;=$C12,AJ$3&lt;=$D12),$E12*(1+الافتراضات!$C$31)^INT((AJ$3-1)/12),0)</f>
        <v>2756.25</v>
      </c>
      <c r="AK12" s="14" t="n">
        <f aca="false">IF(AND(AK$3&gt;=$C12,AK$3&lt;=$D12),$E12*(1+الافتراضات!$C$31)^INT((AK$3-1)/12),0)</f>
        <v>2756.25</v>
      </c>
      <c r="AL12" s="14" t="n">
        <f aca="false">IF(AND(AL$3&gt;=$C12,AL$3&lt;=$D12),$E12*(1+الافتراضات!$C$31)^INT((AL$3-1)/12),0)</f>
        <v>2756.25</v>
      </c>
      <c r="AM12" s="14" t="n">
        <f aca="false">IF(AND(AM$3&gt;=$C12,AM$3&lt;=$D12),$E12*(1+الافتراضات!$C$31)^INT((AM$3-1)/12),0)</f>
        <v>2756.25</v>
      </c>
      <c r="AN12" s="14" t="n">
        <f aca="false">IF(AND(AN$3&gt;=$C12,AN$3&lt;=$D12),$E12*(1+الافتراضات!$C$31)^INT((AN$3-1)/12),0)</f>
        <v>2756.25</v>
      </c>
      <c r="AO12" s="14" t="n">
        <f aca="false">IF(AND(AO$3&gt;=$C12,AO$3&lt;=$D12),$E12*(1+الافتراضات!$C$31)^INT((AO$3-1)/12),0)</f>
        <v>2756.25</v>
      </c>
      <c r="AP12" s="14" t="n">
        <f aca="false">IF(AND(AP$3&gt;=$C12,AP$3&lt;=$D12),$E12*(1+الافتراضات!$C$31)^INT((AP$3-1)/12),0)</f>
        <v>2756.25</v>
      </c>
    </row>
    <row r="13" customFormat="false" ht="15" hidden="false" customHeight="false" outlineLevel="0" collapsed="false">
      <c r="A13" s="37" t="s">
        <v>156</v>
      </c>
      <c r="B13" s="37" t="s">
        <v>146</v>
      </c>
      <c r="C13" s="31" t="n">
        <v>13</v>
      </c>
      <c r="D13" s="31" t="n">
        <v>36</v>
      </c>
      <c r="E13" s="34" t="n">
        <v>4000</v>
      </c>
      <c r="G13" s="14" t="n">
        <f aca="false">IF(AND(G$3&gt;=$C13,G$3&lt;=$D13),$E13*(1+الافتراضات!$C$31)^INT((G$3-1)/12),0)</f>
        <v>0</v>
      </c>
      <c r="H13" s="14" t="n">
        <f aca="false">IF(AND(H$3&gt;=$C13,H$3&lt;=$D13),$E13*(1+الافتراضات!$C$31)^INT((H$3-1)/12),0)</f>
        <v>0</v>
      </c>
      <c r="I13" s="14" t="n">
        <f aca="false">IF(AND(I$3&gt;=$C13,I$3&lt;=$D13),$E13*(1+الافتراضات!$C$31)^INT((I$3-1)/12),0)</f>
        <v>0</v>
      </c>
      <c r="J13" s="14" t="n">
        <f aca="false">IF(AND(J$3&gt;=$C13,J$3&lt;=$D13),$E13*(1+الافتراضات!$C$31)^INT((J$3-1)/12),0)</f>
        <v>0</v>
      </c>
      <c r="K13" s="14" t="n">
        <f aca="false">IF(AND(K$3&gt;=$C13,K$3&lt;=$D13),$E13*(1+الافتراضات!$C$31)^INT((K$3-1)/12),0)</f>
        <v>0</v>
      </c>
      <c r="L13" s="14" t="n">
        <f aca="false">IF(AND(L$3&gt;=$C13,L$3&lt;=$D13),$E13*(1+الافتراضات!$C$31)^INT((L$3-1)/12),0)</f>
        <v>0</v>
      </c>
      <c r="M13" s="14" t="n">
        <f aca="false">IF(AND(M$3&gt;=$C13,M$3&lt;=$D13),$E13*(1+الافتراضات!$C$31)^INT((M$3-1)/12),0)</f>
        <v>0</v>
      </c>
      <c r="N13" s="14" t="n">
        <f aca="false">IF(AND(N$3&gt;=$C13,N$3&lt;=$D13),$E13*(1+الافتراضات!$C$31)^INT((N$3-1)/12),0)</f>
        <v>0</v>
      </c>
      <c r="O13" s="14" t="n">
        <f aca="false">IF(AND(O$3&gt;=$C13,O$3&lt;=$D13),$E13*(1+الافتراضات!$C$31)^INT((O$3-1)/12),0)</f>
        <v>0</v>
      </c>
      <c r="P13" s="14" t="n">
        <f aca="false">IF(AND(P$3&gt;=$C13,P$3&lt;=$D13),$E13*(1+الافتراضات!$C$31)^INT((P$3-1)/12),0)</f>
        <v>0</v>
      </c>
      <c r="Q13" s="14" t="n">
        <f aca="false">IF(AND(Q$3&gt;=$C13,Q$3&lt;=$D13),$E13*(1+الافتراضات!$C$31)^INT((Q$3-1)/12),0)</f>
        <v>0</v>
      </c>
      <c r="R13" s="14" t="n">
        <f aca="false">IF(AND(R$3&gt;=$C13,R$3&lt;=$D13),$E13*(1+الافتراضات!$C$31)^INT((R$3-1)/12),0)</f>
        <v>0</v>
      </c>
      <c r="S13" s="14" t="n">
        <f aca="false">IF(AND(S$3&gt;=$C13,S$3&lt;=$D13),$E13*(1+الافتراضات!$C$31)^INT((S$3-1)/12),0)</f>
        <v>4200</v>
      </c>
      <c r="T13" s="14" t="n">
        <f aca="false">IF(AND(T$3&gt;=$C13,T$3&lt;=$D13),$E13*(1+الافتراضات!$C$31)^INT((T$3-1)/12),0)</f>
        <v>4200</v>
      </c>
      <c r="U13" s="14" t="n">
        <f aca="false">IF(AND(U$3&gt;=$C13,U$3&lt;=$D13),$E13*(1+الافتراضات!$C$31)^INT((U$3-1)/12),0)</f>
        <v>4200</v>
      </c>
      <c r="V13" s="14" t="n">
        <f aca="false">IF(AND(V$3&gt;=$C13,V$3&lt;=$D13),$E13*(1+الافتراضات!$C$31)^INT((V$3-1)/12),0)</f>
        <v>4200</v>
      </c>
      <c r="W13" s="14" t="n">
        <f aca="false">IF(AND(W$3&gt;=$C13,W$3&lt;=$D13),$E13*(1+الافتراضات!$C$31)^INT((W$3-1)/12),0)</f>
        <v>4200</v>
      </c>
      <c r="X13" s="14" t="n">
        <f aca="false">IF(AND(X$3&gt;=$C13,X$3&lt;=$D13),$E13*(1+الافتراضات!$C$31)^INT((X$3-1)/12),0)</f>
        <v>4200</v>
      </c>
      <c r="Y13" s="14" t="n">
        <f aca="false">IF(AND(Y$3&gt;=$C13,Y$3&lt;=$D13),$E13*(1+الافتراضات!$C$31)^INT((Y$3-1)/12),0)</f>
        <v>4200</v>
      </c>
      <c r="Z13" s="14" t="n">
        <f aca="false">IF(AND(Z$3&gt;=$C13,Z$3&lt;=$D13),$E13*(1+الافتراضات!$C$31)^INT((Z$3-1)/12),0)</f>
        <v>4200</v>
      </c>
      <c r="AA13" s="14" t="n">
        <f aca="false">IF(AND(AA$3&gt;=$C13,AA$3&lt;=$D13),$E13*(1+الافتراضات!$C$31)^INT((AA$3-1)/12),0)</f>
        <v>4200</v>
      </c>
      <c r="AB13" s="14" t="n">
        <f aca="false">IF(AND(AB$3&gt;=$C13,AB$3&lt;=$D13),$E13*(1+الافتراضات!$C$31)^INT((AB$3-1)/12),0)</f>
        <v>4200</v>
      </c>
      <c r="AC13" s="14" t="n">
        <f aca="false">IF(AND(AC$3&gt;=$C13,AC$3&lt;=$D13),$E13*(1+الافتراضات!$C$31)^INT((AC$3-1)/12),0)</f>
        <v>4200</v>
      </c>
      <c r="AD13" s="14" t="n">
        <f aca="false">IF(AND(AD$3&gt;=$C13,AD$3&lt;=$D13),$E13*(1+الافتراضات!$C$31)^INT((AD$3-1)/12),0)</f>
        <v>4200</v>
      </c>
      <c r="AE13" s="14" t="n">
        <f aca="false">IF(AND(AE$3&gt;=$C13,AE$3&lt;=$D13),$E13*(1+الافتراضات!$C$31)^INT((AE$3-1)/12),0)</f>
        <v>4410</v>
      </c>
      <c r="AF13" s="14" t="n">
        <f aca="false">IF(AND(AF$3&gt;=$C13,AF$3&lt;=$D13),$E13*(1+الافتراضات!$C$31)^INT((AF$3-1)/12),0)</f>
        <v>4410</v>
      </c>
      <c r="AG13" s="14" t="n">
        <f aca="false">IF(AND(AG$3&gt;=$C13,AG$3&lt;=$D13),$E13*(1+الافتراضات!$C$31)^INT((AG$3-1)/12),0)</f>
        <v>4410</v>
      </c>
      <c r="AH13" s="14" t="n">
        <f aca="false">IF(AND(AH$3&gt;=$C13,AH$3&lt;=$D13),$E13*(1+الافتراضات!$C$31)^INT((AH$3-1)/12),0)</f>
        <v>4410</v>
      </c>
      <c r="AI13" s="14" t="n">
        <f aca="false">IF(AND(AI$3&gt;=$C13,AI$3&lt;=$D13),$E13*(1+الافتراضات!$C$31)^INT((AI$3-1)/12),0)</f>
        <v>4410</v>
      </c>
      <c r="AJ13" s="14" t="n">
        <f aca="false">IF(AND(AJ$3&gt;=$C13,AJ$3&lt;=$D13),$E13*(1+الافتراضات!$C$31)^INT((AJ$3-1)/12),0)</f>
        <v>4410</v>
      </c>
      <c r="AK13" s="14" t="n">
        <f aca="false">IF(AND(AK$3&gt;=$C13,AK$3&lt;=$D13),$E13*(1+الافتراضات!$C$31)^INT((AK$3-1)/12),0)</f>
        <v>4410</v>
      </c>
      <c r="AL13" s="14" t="n">
        <f aca="false">IF(AND(AL$3&gt;=$C13,AL$3&lt;=$D13),$E13*(1+الافتراضات!$C$31)^INT((AL$3-1)/12),0)</f>
        <v>4410</v>
      </c>
      <c r="AM13" s="14" t="n">
        <f aca="false">IF(AND(AM$3&gt;=$C13,AM$3&lt;=$D13),$E13*(1+الافتراضات!$C$31)^INT((AM$3-1)/12),0)</f>
        <v>4410</v>
      </c>
      <c r="AN13" s="14" t="n">
        <f aca="false">IF(AND(AN$3&gt;=$C13,AN$3&lt;=$D13),$E13*(1+الافتراضات!$C$31)^INT((AN$3-1)/12),0)</f>
        <v>4410</v>
      </c>
      <c r="AO13" s="14" t="n">
        <f aca="false">IF(AND(AO$3&gt;=$C13,AO$3&lt;=$D13),$E13*(1+الافتراضات!$C$31)^INT((AO$3-1)/12),0)</f>
        <v>4410</v>
      </c>
      <c r="AP13" s="14" t="n">
        <f aca="false">IF(AND(AP$3&gt;=$C13,AP$3&lt;=$D13),$E13*(1+الافتراضات!$C$31)^INT((AP$3-1)/12),0)</f>
        <v>4410</v>
      </c>
    </row>
    <row r="14" customFormat="false" ht="15" hidden="false" customHeight="false" outlineLevel="0" collapsed="false">
      <c r="A14" s="37" t="s">
        <v>157</v>
      </c>
      <c r="B14" s="37" t="s">
        <v>146</v>
      </c>
      <c r="C14" s="31" t="n">
        <v>13</v>
      </c>
      <c r="D14" s="31" t="n">
        <v>36</v>
      </c>
      <c r="E14" s="34" t="n">
        <v>3000</v>
      </c>
      <c r="G14" s="14" t="n">
        <f aca="false">IF(AND(G$3&gt;=$C14,G$3&lt;=$D14),$E14*(1+الافتراضات!$C$31)^INT((G$3-1)/12),0)</f>
        <v>0</v>
      </c>
      <c r="H14" s="14" t="n">
        <f aca="false">IF(AND(H$3&gt;=$C14,H$3&lt;=$D14),$E14*(1+الافتراضات!$C$31)^INT((H$3-1)/12),0)</f>
        <v>0</v>
      </c>
      <c r="I14" s="14" t="n">
        <f aca="false">IF(AND(I$3&gt;=$C14,I$3&lt;=$D14),$E14*(1+الافتراضات!$C$31)^INT((I$3-1)/12),0)</f>
        <v>0</v>
      </c>
      <c r="J14" s="14" t="n">
        <f aca="false">IF(AND(J$3&gt;=$C14,J$3&lt;=$D14),$E14*(1+الافتراضات!$C$31)^INT((J$3-1)/12),0)</f>
        <v>0</v>
      </c>
      <c r="K14" s="14" t="n">
        <f aca="false">IF(AND(K$3&gt;=$C14,K$3&lt;=$D14),$E14*(1+الافتراضات!$C$31)^INT((K$3-1)/12),0)</f>
        <v>0</v>
      </c>
      <c r="L14" s="14" t="n">
        <f aca="false">IF(AND(L$3&gt;=$C14,L$3&lt;=$D14),$E14*(1+الافتراضات!$C$31)^INT((L$3-1)/12),0)</f>
        <v>0</v>
      </c>
      <c r="M14" s="14" t="n">
        <f aca="false">IF(AND(M$3&gt;=$C14,M$3&lt;=$D14),$E14*(1+الافتراضات!$C$31)^INT((M$3-1)/12),0)</f>
        <v>0</v>
      </c>
      <c r="N14" s="14" t="n">
        <f aca="false">IF(AND(N$3&gt;=$C14,N$3&lt;=$D14),$E14*(1+الافتراضات!$C$31)^INT((N$3-1)/12),0)</f>
        <v>0</v>
      </c>
      <c r="O14" s="14" t="n">
        <f aca="false">IF(AND(O$3&gt;=$C14,O$3&lt;=$D14),$E14*(1+الافتراضات!$C$31)^INT((O$3-1)/12),0)</f>
        <v>0</v>
      </c>
      <c r="P14" s="14" t="n">
        <f aca="false">IF(AND(P$3&gt;=$C14,P$3&lt;=$D14),$E14*(1+الافتراضات!$C$31)^INT((P$3-1)/12),0)</f>
        <v>0</v>
      </c>
      <c r="Q14" s="14" t="n">
        <f aca="false">IF(AND(Q$3&gt;=$C14,Q$3&lt;=$D14),$E14*(1+الافتراضات!$C$31)^INT((Q$3-1)/12),0)</f>
        <v>0</v>
      </c>
      <c r="R14" s="14" t="n">
        <f aca="false">IF(AND(R$3&gt;=$C14,R$3&lt;=$D14),$E14*(1+الافتراضات!$C$31)^INT((R$3-1)/12),0)</f>
        <v>0</v>
      </c>
      <c r="S14" s="14" t="n">
        <f aca="false">IF(AND(S$3&gt;=$C14,S$3&lt;=$D14),$E14*(1+الافتراضات!$C$31)^INT((S$3-1)/12),0)</f>
        <v>3150</v>
      </c>
      <c r="T14" s="14" t="n">
        <f aca="false">IF(AND(T$3&gt;=$C14,T$3&lt;=$D14),$E14*(1+الافتراضات!$C$31)^INT((T$3-1)/12),0)</f>
        <v>3150</v>
      </c>
      <c r="U14" s="14" t="n">
        <f aca="false">IF(AND(U$3&gt;=$C14,U$3&lt;=$D14),$E14*(1+الافتراضات!$C$31)^INT((U$3-1)/12),0)</f>
        <v>3150</v>
      </c>
      <c r="V14" s="14" t="n">
        <f aca="false">IF(AND(V$3&gt;=$C14,V$3&lt;=$D14),$E14*(1+الافتراضات!$C$31)^INT((V$3-1)/12),0)</f>
        <v>3150</v>
      </c>
      <c r="W14" s="14" t="n">
        <f aca="false">IF(AND(W$3&gt;=$C14,W$3&lt;=$D14),$E14*(1+الافتراضات!$C$31)^INT((W$3-1)/12),0)</f>
        <v>3150</v>
      </c>
      <c r="X14" s="14" t="n">
        <f aca="false">IF(AND(X$3&gt;=$C14,X$3&lt;=$D14),$E14*(1+الافتراضات!$C$31)^INT((X$3-1)/12),0)</f>
        <v>3150</v>
      </c>
      <c r="Y14" s="14" t="n">
        <f aca="false">IF(AND(Y$3&gt;=$C14,Y$3&lt;=$D14),$E14*(1+الافتراضات!$C$31)^INT((Y$3-1)/12),0)</f>
        <v>3150</v>
      </c>
      <c r="Z14" s="14" t="n">
        <f aca="false">IF(AND(Z$3&gt;=$C14,Z$3&lt;=$D14),$E14*(1+الافتراضات!$C$31)^INT((Z$3-1)/12),0)</f>
        <v>3150</v>
      </c>
      <c r="AA14" s="14" t="n">
        <f aca="false">IF(AND(AA$3&gt;=$C14,AA$3&lt;=$D14),$E14*(1+الافتراضات!$C$31)^INT((AA$3-1)/12),0)</f>
        <v>3150</v>
      </c>
      <c r="AB14" s="14" t="n">
        <f aca="false">IF(AND(AB$3&gt;=$C14,AB$3&lt;=$D14),$E14*(1+الافتراضات!$C$31)^INT((AB$3-1)/12),0)</f>
        <v>3150</v>
      </c>
      <c r="AC14" s="14" t="n">
        <f aca="false">IF(AND(AC$3&gt;=$C14,AC$3&lt;=$D14),$E14*(1+الافتراضات!$C$31)^INT((AC$3-1)/12),0)</f>
        <v>3150</v>
      </c>
      <c r="AD14" s="14" t="n">
        <f aca="false">IF(AND(AD$3&gt;=$C14,AD$3&lt;=$D14),$E14*(1+الافتراضات!$C$31)^INT((AD$3-1)/12),0)</f>
        <v>3150</v>
      </c>
      <c r="AE14" s="14" t="n">
        <f aca="false">IF(AND(AE$3&gt;=$C14,AE$3&lt;=$D14),$E14*(1+الافتراضات!$C$31)^INT((AE$3-1)/12),0)</f>
        <v>3307.5</v>
      </c>
      <c r="AF14" s="14" t="n">
        <f aca="false">IF(AND(AF$3&gt;=$C14,AF$3&lt;=$D14),$E14*(1+الافتراضات!$C$31)^INT((AF$3-1)/12),0)</f>
        <v>3307.5</v>
      </c>
      <c r="AG14" s="14" t="n">
        <f aca="false">IF(AND(AG$3&gt;=$C14,AG$3&lt;=$D14),$E14*(1+الافتراضات!$C$31)^INT((AG$3-1)/12),0)</f>
        <v>3307.5</v>
      </c>
      <c r="AH14" s="14" t="n">
        <f aca="false">IF(AND(AH$3&gt;=$C14,AH$3&lt;=$D14),$E14*(1+الافتراضات!$C$31)^INT((AH$3-1)/12),0)</f>
        <v>3307.5</v>
      </c>
      <c r="AI14" s="14" t="n">
        <f aca="false">IF(AND(AI$3&gt;=$C14,AI$3&lt;=$D14),$E14*(1+الافتراضات!$C$31)^INT((AI$3-1)/12),0)</f>
        <v>3307.5</v>
      </c>
      <c r="AJ14" s="14" t="n">
        <f aca="false">IF(AND(AJ$3&gt;=$C14,AJ$3&lt;=$D14),$E14*(1+الافتراضات!$C$31)^INT((AJ$3-1)/12),0)</f>
        <v>3307.5</v>
      </c>
      <c r="AK14" s="14" t="n">
        <f aca="false">IF(AND(AK$3&gt;=$C14,AK$3&lt;=$D14),$E14*(1+الافتراضات!$C$31)^INT((AK$3-1)/12),0)</f>
        <v>3307.5</v>
      </c>
      <c r="AL14" s="14" t="n">
        <f aca="false">IF(AND(AL$3&gt;=$C14,AL$3&lt;=$D14),$E14*(1+الافتراضات!$C$31)^INT((AL$3-1)/12),0)</f>
        <v>3307.5</v>
      </c>
      <c r="AM14" s="14" t="n">
        <f aca="false">IF(AND(AM$3&gt;=$C14,AM$3&lt;=$D14),$E14*(1+الافتراضات!$C$31)^INT((AM$3-1)/12),0)</f>
        <v>3307.5</v>
      </c>
      <c r="AN14" s="14" t="n">
        <f aca="false">IF(AND(AN$3&gt;=$C14,AN$3&lt;=$D14),$E14*(1+الافتراضات!$C$31)^INT((AN$3-1)/12),0)</f>
        <v>3307.5</v>
      </c>
      <c r="AO14" s="14" t="n">
        <f aca="false">IF(AND(AO$3&gt;=$C14,AO$3&lt;=$D14),$E14*(1+الافتراضات!$C$31)^INT((AO$3-1)/12),0)</f>
        <v>3307.5</v>
      </c>
      <c r="AP14" s="14" t="n">
        <f aca="false">IF(AND(AP$3&gt;=$C14,AP$3&lt;=$D14),$E14*(1+الافتراضات!$C$31)^INT((AP$3-1)/12),0)</f>
        <v>3307.5</v>
      </c>
    </row>
    <row r="15" customFormat="false" ht="15" hidden="false" customHeight="false" outlineLevel="0" collapsed="false">
      <c r="A15" s="37" t="s">
        <v>158</v>
      </c>
      <c r="B15" s="37" t="s">
        <v>146</v>
      </c>
      <c r="C15" s="31" t="n">
        <v>13</v>
      </c>
      <c r="D15" s="31" t="n">
        <v>36</v>
      </c>
      <c r="E15" s="34" t="n">
        <v>3000</v>
      </c>
      <c r="G15" s="14" t="n">
        <f aca="false">IF(AND(G$3&gt;=$C15,G$3&lt;=$D15),$E15*(1+الافتراضات!$C$31)^INT((G$3-1)/12),0)</f>
        <v>0</v>
      </c>
      <c r="H15" s="14" t="n">
        <f aca="false">IF(AND(H$3&gt;=$C15,H$3&lt;=$D15),$E15*(1+الافتراضات!$C$31)^INT((H$3-1)/12),0)</f>
        <v>0</v>
      </c>
      <c r="I15" s="14" t="n">
        <f aca="false">IF(AND(I$3&gt;=$C15,I$3&lt;=$D15),$E15*(1+الافتراضات!$C$31)^INT((I$3-1)/12),0)</f>
        <v>0</v>
      </c>
      <c r="J15" s="14" t="n">
        <f aca="false">IF(AND(J$3&gt;=$C15,J$3&lt;=$D15),$E15*(1+الافتراضات!$C$31)^INT((J$3-1)/12),0)</f>
        <v>0</v>
      </c>
      <c r="K15" s="14" t="n">
        <f aca="false">IF(AND(K$3&gt;=$C15,K$3&lt;=$D15),$E15*(1+الافتراضات!$C$31)^INT((K$3-1)/12),0)</f>
        <v>0</v>
      </c>
      <c r="L15" s="14" t="n">
        <f aca="false">IF(AND(L$3&gt;=$C15,L$3&lt;=$D15),$E15*(1+الافتراضات!$C$31)^INT((L$3-1)/12),0)</f>
        <v>0</v>
      </c>
      <c r="M15" s="14" t="n">
        <f aca="false">IF(AND(M$3&gt;=$C15,M$3&lt;=$D15),$E15*(1+الافتراضات!$C$31)^INT((M$3-1)/12),0)</f>
        <v>0</v>
      </c>
      <c r="N15" s="14" t="n">
        <f aca="false">IF(AND(N$3&gt;=$C15,N$3&lt;=$D15),$E15*(1+الافتراضات!$C$31)^INT((N$3-1)/12),0)</f>
        <v>0</v>
      </c>
      <c r="O15" s="14" t="n">
        <f aca="false">IF(AND(O$3&gt;=$C15,O$3&lt;=$D15),$E15*(1+الافتراضات!$C$31)^INT((O$3-1)/12),0)</f>
        <v>0</v>
      </c>
      <c r="P15" s="14" t="n">
        <f aca="false">IF(AND(P$3&gt;=$C15,P$3&lt;=$D15),$E15*(1+الافتراضات!$C$31)^INT((P$3-1)/12),0)</f>
        <v>0</v>
      </c>
      <c r="Q15" s="14" t="n">
        <f aca="false">IF(AND(Q$3&gt;=$C15,Q$3&lt;=$D15),$E15*(1+الافتراضات!$C$31)^INT((Q$3-1)/12),0)</f>
        <v>0</v>
      </c>
      <c r="R15" s="14" t="n">
        <f aca="false">IF(AND(R$3&gt;=$C15,R$3&lt;=$D15),$E15*(1+الافتراضات!$C$31)^INT((R$3-1)/12),0)</f>
        <v>0</v>
      </c>
      <c r="S15" s="14" t="n">
        <f aca="false">IF(AND(S$3&gt;=$C15,S$3&lt;=$D15),$E15*(1+الافتراضات!$C$31)^INT((S$3-1)/12),0)</f>
        <v>3150</v>
      </c>
      <c r="T15" s="14" t="n">
        <f aca="false">IF(AND(T$3&gt;=$C15,T$3&lt;=$D15),$E15*(1+الافتراضات!$C$31)^INT((T$3-1)/12),0)</f>
        <v>3150</v>
      </c>
      <c r="U15" s="14" t="n">
        <f aca="false">IF(AND(U$3&gt;=$C15,U$3&lt;=$D15),$E15*(1+الافتراضات!$C$31)^INT((U$3-1)/12),0)</f>
        <v>3150</v>
      </c>
      <c r="V15" s="14" t="n">
        <f aca="false">IF(AND(V$3&gt;=$C15,V$3&lt;=$D15),$E15*(1+الافتراضات!$C$31)^INT((V$3-1)/12),0)</f>
        <v>3150</v>
      </c>
      <c r="W15" s="14" t="n">
        <f aca="false">IF(AND(W$3&gt;=$C15,W$3&lt;=$D15),$E15*(1+الافتراضات!$C$31)^INT((W$3-1)/12),0)</f>
        <v>3150</v>
      </c>
      <c r="X15" s="14" t="n">
        <f aca="false">IF(AND(X$3&gt;=$C15,X$3&lt;=$D15),$E15*(1+الافتراضات!$C$31)^INT((X$3-1)/12),0)</f>
        <v>3150</v>
      </c>
      <c r="Y15" s="14" t="n">
        <f aca="false">IF(AND(Y$3&gt;=$C15,Y$3&lt;=$D15),$E15*(1+الافتراضات!$C$31)^INT((Y$3-1)/12),0)</f>
        <v>3150</v>
      </c>
      <c r="Z15" s="14" t="n">
        <f aca="false">IF(AND(Z$3&gt;=$C15,Z$3&lt;=$D15),$E15*(1+الافتراضات!$C$31)^INT((Z$3-1)/12),0)</f>
        <v>3150</v>
      </c>
      <c r="AA15" s="14" t="n">
        <f aca="false">IF(AND(AA$3&gt;=$C15,AA$3&lt;=$D15),$E15*(1+الافتراضات!$C$31)^INT((AA$3-1)/12),0)</f>
        <v>3150</v>
      </c>
      <c r="AB15" s="14" t="n">
        <f aca="false">IF(AND(AB$3&gt;=$C15,AB$3&lt;=$D15),$E15*(1+الافتراضات!$C$31)^INT((AB$3-1)/12),0)</f>
        <v>3150</v>
      </c>
      <c r="AC15" s="14" t="n">
        <f aca="false">IF(AND(AC$3&gt;=$C15,AC$3&lt;=$D15),$E15*(1+الافتراضات!$C$31)^INT((AC$3-1)/12),0)</f>
        <v>3150</v>
      </c>
      <c r="AD15" s="14" t="n">
        <f aca="false">IF(AND(AD$3&gt;=$C15,AD$3&lt;=$D15),$E15*(1+الافتراضات!$C$31)^INT((AD$3-1)/12),0)</f>
        <v>3150</v>
      </c>
      <c r="AE15" s="14" t="n">
        <f aca="false">IF(AND(AE$3&gt;=$C15,AE$3&lt;=$D15),$E15*(1+الافتراضات!$C$31)^INT((AE$3-1)/12),0)</f>
        <v>3307.5</v>
      </c>
      <c r="AF15" s="14" t="n">
        <f aca="false">IF(AND(AF$3&gt;=$C15,AF$3&lt;=$D15),$E15*(1+الافتراضات!$C$31)^INT((AF$3-1)/12),0)</f>
        <v>3307.5</v>
      </c>
      <c r="AG15" s="14" t="n">
        <f aca="false">IF(AND(AG$3&gt;=$C15,AG$3&lt;=$D15),$E15*(1+الافتراضات!$C$31)^INT((AG$3-1)/12),0)</f>
        <v>3307.5</v>
      </c>
      <c r="AH15" s="14" t="n">
        <f aca="false">IF(AND(AH$3&gt;=$C15,AH$3&lt;=$D15),$E15*(1+الافتراضات!$C$31)^INT((AH$3-1)/12),0)</f>
        <v>3307.5</v>
      </c>
      <c r="AI15" s="14" t="n">
        <f aca="false">IF(AND(AI$3&gt;=$C15,AI$3&lt;=$D15),$E15*(1+الافتراضات!$C$31)^INT((AI$3-1)/12),0)</f>
        <v>3307.5</v>
      </c>
      <c r="AJ15" s="14" t="n">
        <f aca="false">IF(AND(AJ$3&gt;=$C15,AJ$3&lt;=$D15),$E15*(1+الافتراضات!$C$31)^INT((AJ$3-1)/12),0)</f>
        <v>3307.5</v>
      </c>
      <c r="AK15" s="14" t="n">
        <f aca="false">IF(AND(AK$3&gt;=$C15,AK$3&lt;=$D15),$E15*(1+الافتراضات!$C$31)^INT((AK$3-1)/12),0)</f>
        <v>3307.5</v>
      </c>
      <c r="AL15" s="14" t="n">
        <f aca="false">IF(AND(AL$3&gt;=$C15,AL$3&lt;=$D15),$E15*(1+الافتراضات!$C$31)^INT((AL$3-1)/12),0)</f>
        <v>3307.5</v>
      </c>
      <c r="AM15" s="14" t="n">
        <f aca="false">IF(AND(AM$3&gt;=$C15,AM$3&lt;=$D15),$E15*(1+الافتراضات!$C$31)^INT((AM$3-1)/12),0)</f>
        <v>3307.5</v>
      </c>
      <c r="AN15" s="14" t="n">
        <f aca="false">IF(AND(AN$3&gt;=$C15,AN$3&lt;=$D15),$E15*(1+الافتراضات!$C$31)^INT((AN$3-1)/12),0)</f>
        <v>3307.5</v>
      </c>
      <c r="AO15" s="14" t="n">
        <f aca="false">IF(AND(AO$3&gt;=$C15,AO$3&lt;=$D15),$E15*(1+الافتراضات!$C$31)^INT((AO$3-1)/12),0)</f>
        <v>3307.5</v>
      </c>
      <c r="AP15" s="14" t="n">
        <f aca="false">IF(AND(AP$3&gt;=$C15,AP$3&lt;=$D15),$E15*(1+الافتراضات!$C$31)^INT((AP$3-1)/12),0)</f>
        <v>3307.5</v>
      </c>
    </row>
    <row r="16" customFormat="false" ht="15" hidden="false" customHeight="false" outlineLevel="0" collapsed="false">
      <c r="A16" s="37" t="s">
        <v>159</v>
      </c>
      <c r="B16" s="37" t="s">
        <v>146</v>
      </c>
      <c r="C16" s="31" t="n">
        <v>25</v>
      </c>
      <c r="D16" s="31" t="n">
        <v>36</v>
      </c>
      <c r="E16" s="34" t="n">
        <v>4500</v>
      </c>
      <c r="G16" s="14" t="n">
        <f aca="false">IF(AND(G$3&gt;=$C16,G$3&lt;=$D16),$E16*(1+الافتراضات!$C$31)^INT((G$3-1)/12),0)</f>
        <v>0</v>
      </c>
      <c r="H16" s="14" t="n">
        <f aca="false">IF(AND(H$3&gt;=$C16,H$3&lt;=$D16),$E16*(1+الافتراضات!$C$31)^INT((H$3-1)/12),0)</f>
        <v>0</v>
      </c>
      <c r="I16" s="14" t="n">
        <f aca="false">IF(AND(I$3&gt;=$C16,I$3&lt;=$D16),$E16*(1+الافتراضات!$C$31)^INT((I$3-1)/12),0)</f>
        <v>0</v>
      </c>
      <c r="J16" s="14" t="n">
        <f aca="false">IF(AND(J$3&gt;=$C16,J$3&lt;=$D16),$E16*(1+الافتراضات!$C$31)^INT((J$3-1)/12),0)</f>
        <v>0</v>
      </c>
      <c r="K16" s="14" t="n">
        <f aca="false">IF(AND(K$3&gt;=$C16,K$3&lt;=$D16),$E16*(1+الافتراضات!$C$31)^INT((K$3-1)/12),0)</f>
        <v>0</v>
      </c>
      <c r="L16" s="14" t="n">
        <f aca="false">IF(AND(L$3&gt;=$C16,L$3&lt;=$D16),$E16*(1+الافتراضات!$C$31)^INT((L$3-1)/12),0)</f>
        <v>0</v>
      </c>
      <c r="M16" s="14" t="n">
        <f aca="false">IF(AND(M$3&gt;=$C16,M$3&lt;=$D16),$E16*(1+الافتراضات!$C$31)^INT((M$3-1)/12),0)</f>
        <v>0</v>
      </c>
      <c r="N16" s="14" t="n">
        <f aca="false">IF(AND(N$3&gt;=$C16,N$3&lt;=$D16),$E16*(1+الافتراضات!$C$31)^INT((N$3-1)/12),0)</f>
        <v>0</v>
      </c>
      <c r="O16" s="14" t="n">
        <f aca="false">IF(AND(O$3&gt;=$C16,O$3&lt;=$D16),$E16*(1+الافتراضات!$C$31)^INT((O$3-1)/12),0)</f>
        <v>0</v>
      </c>
      <c r="P16" s="14" t="n">
        <f aca="false">IF(AND(P$3&gt;=$C16,P$3&lt;=$D16),$E16*(1+الافتراضات!$C$31)^INT((P$3-1)/12),0)</f>
        <v>0</v>
      </c>
      <c r="Q16" s="14" t="n">
        <f aca="false">IF(AND(Q$3&gt;=$C16,Q$3&lt;=$D16),$E16*(1+الافتراضات!$C$31)^INT((Q$3-1)/12),0)</f>
        <v>0</v>
      </c>
      <c r="R16" s="14" t="n">
        <f aca="false">IF(AND(R$3&gt;=$C16,R$3&lt;=$D16),$E16*(1+الافتراضات!$C$31)^INT((R$3-1)/12),0)</f>
        <v>0</v>
      </c>
      <c r="S16" s="14" t="n">
        <f aca="false">IF(AND(S$3&gt;=$C16,S$3&lt;=$D16),$E16*(1+الافتراضات!$C$31)^INT((S$3-1)/12),0)</f>
        <v>0</v>
      </c>
      <c r="T16" s="14" t="n">
        <f aca="false">IF(AND(T$3&gt;=$C16,T$3&lt;=$D16),$E16*(1+الافتراضات!$C$31)^INT((T$3-1)/12),0)</f>
        <v>0</v>
      </c>
      <c r="U16" s="14" t="n">
        <f aca="false">IF(AND(U$3&gt;=$C16,U$3&lt;=$D16),$E16*(1+الافتراضات!$C$31)^INT((U$3-1)/12),0)</f>
        <v>0</v>
      </c>
      <c r="V16" s="14" t="n">
        <f aca="false">IF(AND(V$3&gt;=$C16,V$3&lt;=$D16),$E16*(1+الافتراضات!$C$31)^INT((V$3-1)/12),0)</f>
        <v>0</v>
      </c>
      <c r="W16" s="14" t="n">
        <f aca="false">IF(AND(W$3&gt;=$C16,W$3&lt;=$D16),$E16*(1+الافتراضات!$C$31)^INT((W$3-1)/12),0)</f>
        <v>0</v>
      </c>
      <c r="X16" s="14" t="n">
        <f aca="false">IF(AND(X$3&gt;=$C16,X$3&lt;=$D16),$E16*(1+الافتراضات!$C$31)^INT((X$3-1)/12),0)</f>
        <v>0</v>
      </c>
      <c r="Y16" s="14" t="n">
        <f aca="false">IF(AND(Y$3&gt;=$C16,Y$3&lt;=$D16),$E16*(1+الافتراضات!$C$31)^INT((Y$3-1)/12),0)</f>
        <v>0</v>
      </c>
      <c r="Z16" s="14" t="n">
        <f aca="false">IF(AND(Z$3&gt;=$C16,Z$3&lt;=$D16),$E16*(1+الافتراضات!$C$31)^INT((Z$3-1)/12),0)</f>
        <v>0</v>
      </c>
      <c r="AA16" s="14" t="n">
        <f aca="false">IF(AND(AA$3&gt;=$C16,AA$3&lt;=$D16),$E16*(1+الافتراضات!$C$31)^INT((AA$3-1)/12),0)</f>
        <v>0</v>
      </c>
      <c r="AB16" s="14" t="n">
        <f aca="false">IF(AND(AB$3&gt;=$C16,AB$3&lt;=$D16),$E16*(1+الافتراضات!$C$31)^INT((AB$3-1)/12),0)</f>
        <v>0</v>
      </c>
      <c r="AC16" s="14" t="n">
        <f aca="false">IF(AND(AC$3&gt;=$C16,AC$3&lt;=$D16),$E16*(1+الافتراضات!$C$31)^INT((AC$3-1)/12),0)</f>
        <v>0</v>
      </c>
      <c r="AD16" s="14" t="n">
        <f aca="false">IF(AND(AD$3&gt;=$C16,AD$3&lt;=$D16),$E16*(1+الافتراضات!$C$31)^INT((AD$3-1)/12),0)</f>
        <v>0</v>
      </c>
      <c r="AE16" s="14" t="n">
        <f aca="false">IF(AND(AE$3&gt;=$C16,AE$3&lt;=$D16),$E16*(1+الافتراضات!$C$31)^INT((AE$3-1)/12),0)</f>
        <v>4961.25</v>
      </c>
      <c r="AF16" s="14" t="n">
        <f aca="false">IF(AND(AF$3&gt;=$C16,AF$3&lt;=$D16),$E16*(1+الافتراضات!$C$31)^INT((AF$3-1)/12),0)</f>
        <v>4961.25</v>
      </c>
      <c r="AG16" s="14" t="n">
        <f aca="false">IF(AND(AG$3&gt;=$C16,AG$3&lt;=$D16),$E16*(1+الافتراضات!$C$31)^INT((AG$3-1)/12),0)</f>
        <v>4961.25</v>
      </c>
      <c r="AH16" s="14" t="n">
        <f aca="false">IF(AND(AH$3&gt;=$C16,AH$3&lt;=$D16),$E16*(1+الافتراضات!$C$31)^INT((AH$3-1)/12),0)</f>
        <v>4961.25</v>
      </c>
      <c r="AI16" s="14" t="n">
        <f aca="false">IF(AND(AI$3&gt;=$C16,AI$3&lt;=$D16),$E16*(1+الافتراضات!$C$31)^INT((AI$3-1)/12),0)</f>
        <v>4961.25</v>
      </c>
      <c r="AJ16" s="14" t="n">
        <f aca="false">IF(AND(AJ$3&gt;=$C16,AJ$3&lt;=$D16),$E16*(1+الافتراضات!$C$31)^INT((AJ$3-1)/12),0)</f>
        <v>4961.25</v>
      </c>
      <c r="AK16" s="14" t="n">
        <f aca="false">IF(AND(AK$3&gt;=$C16,AK$3&lt;=$D16),$E16*(1+الافتراضات!$C$31)^INT((AK$3-1)/12),0)</f>
        <v>4961.25</v>
      </c>
      <c r="AL16" s="14" t="n">
        <f aca="false">IF(AND(AL$3&gt;=$C16,AL$3&lt;=$D16),$E16*(1+الافتراضات!$C$31)^INT((AL$3-1)/12),0)</f>
        <v>4961.25</v>
      </c>
      <c r="AM16" s="14" t="n">
        <f aca="false">IF(AND(AM$3&gt;=$C16,AM$3&lt;=$D16),$E16*(1+الافتراضات!$C$31)^INT((AM$3-1)/12),0)</f>
        <v>4961.25</v>
      </c>
      <c r="AN16" s="14" t="n">
        <f aca="false">IF(AND(AN$3&gt;=$C16,AN$3&lt;=$D16),$E16*(1+الافتراضات!$C$31)^INT((AN$3-1)/12),0)</f>
        <v>4961.25</v>
      </c>
      <c r="AO16" s="14" t="n">
        <f aca="false">IF(AND(AO$3&gt;=$C16,AO$3&lt;=$D16),$E16*(1+الافتراضات!$C$31)^INT((AO$3-1)/12),0)</f>
        <v>4961.25</v>
      </c>
      <c r="AP16" s="14" t="n">
        <f aca="false">IF(AND(AP$3&gt;=$C16,AP$3&lt;=$D16),$E16*(1+الافتراضات!$C$31)^INT((AP$3-1)/12),0)</f>
        <v>4961.25</v>
      </c>
    </row>
    <row r="17" customFormat="false" ht="15" hidden="false" customHeight="false" outlineLevel="0" collapsed="false">
      <c r="A17" s="37" t="s">
        <v>160</v>
      </c>
      <c r="B17" s="37" t="s">
        <v>146</v>
      </c>
      <c r="C17" s="31" t="n">
        <v>25</v>
      </c>
      <c r="D17" s="31" t="n">
        <v>36</v>
      </c>
      <c r="E17" s="34" t="n">
        <v>4500</v>
      </c>
      <c r="G17" s="14" t="n">
        <f aca="false">IF(AND(G$3&gt;=$C17,G$3&lt;=$D17),$E17*(1+الافتراضات!$C$31)^INT((G$3-1)/12),0)</f>
        <v>0</v>
      </c>
      <c r="H17" s="14" t="n">
        <f aca="false">IF(AND(H$3&gt;=$C17,H$3&lt;=$D17),$E17*(1+الافتراضات!$C$31)^INT((H$3-1)/12),0)</f>
        <v>0</v>
      </c>
      <c r="I17" s="14" t="n">
        <f aca="false">IF(AND(I$3&gt;=$C17,I$3&lt;=$D17),$E17*(1+الافتراضات!$C$31)^INT((I$3-1)/12),0)</f>
        <v>0</v>
      </c>
      <c r="J17" s="14" t="n">
        <f aca="false">IF(AND(J$3&gt;=$C17,J$3&lt;=$D17),$E17*(1+الافتراضات!$C$31)^INT((J$3-1)/12),0)</f>
        <v>0</v>
      </c>
      <c r="K17" s="14" t="n">
        <f aca="false">IF(AND(K$3&gt;=$C17,K$3&lt;=$D17),$E17*(1+الافتراضات!$C$31)^INT((K$3-1)/12),0)</f>
        <v>0</v>
      </c>
      <c r="L17" s="14" t="n">
        <f aca="false">IF(AND(L$3&gt;=$C17,L$3&lt;=$D17),$E17*(1+الافتراضات!$C$31)^INT((L$3-1)/12),0)</f>
        <v>0</v>
      </c>
      <c r="M17" s="14" t="n">
        <f aca="false">IF(AND(M$3&gt;=$C17,M$3&lt;=$D17),$E17*(1+الافتراضات!$C$31)^INT((M$3-1)/12),0)</f>
        <v>0</v>
      </c>
      <c r="N17" s="14" t="n">
        <f aca="false">IF(AND(N$3&gt;=$C17,N$3&lt;=$D17),$E17*(1+الافتراضات!$C$31)^INT((N$3-1)/12),0)</f>
        <v>0</v>
      </c>
      <c r="O17" s="14" t="n">
        <f aca="false">IF(AND(O$3&gt;=$C17,O$3&lt;=$D17),$E17*(1+الافتراضات!$C$31)^INT((O$3-1)/12),0)</f>
        <v>0</v>
      </c>
      <c r="P17" s="14" t="n">
        <f aca="false">IF(AND(P$3&gt;=$C17,P$3&lt;=$D17),$E17*(1+الافتراضات!$C$31)^INT((P$3-1)/12),0)</f>
        <v>0</v>
      </c>
      <c r="Q17" s="14" t="n">
        <f aca="false">IF(AND(Q$3&gt;=$C17,Q$3&lt;=$D17),$E17*(1+الافتراضات!$C$31)^INT((Q$3-1)/12),0)</f>
        <v>0</v>
      </c>
      <c r="R17" s="14" t="n">
        <f aca="false">IF(AND(R$3&gt;=$C17,R$3&lt;=$D17),$E17*(1+الافتراضات!$C$31)^INT((R$3-1)/12),0)</f>
        <v>0</v>
      </c>
      <c r="S17" s="14" t="n">
        <f aca="false">IF(AND(S$3&gt;=$C17,S$3&lt;=$D17),$E17*(1+الافتراضات!$C$31)^INT((S$3-1)/12),0)</f>
        <v>0</v>
      </c>
      <c r="T17" s="14" t="n">
        <f aca="false">IF(AND(T$3&gt;=$C17,T$3&lt;=$D17),$E17*(1+الافتراضات!$C$31)^INT((T$3-1)/12),0)</f>
        <v>0</v>
      </c>
      <c r="U17" s="14" t="n">
        <f aca="false">IF(AND(U$3&gt;=$C17,U$3&lt;=$D17),$E17*(1+الافتراضات!$C$31)^INT((U$3-1)/12),0)</f>
        <v>0</v>
      </c>
      <c r="V17" s="14" t="n">
        <f aca="false">IF(AND(V$3&gt;=$C17,V$3&lt;=$D17),$E17*(1+الافتراضات!$C$31)^INT((V$3-1)/12),0)</f>
        <v>0</v>
      </c>
      <c r="W17" s="14" t="n">
        <f aca="false">IF(AND(W$3&gt;=$C17,W$3&lt;=$D17),$E17*(1+الافتراضات!$C$31)^INT((W$3-1)/12),0)</f>
        <v>0</v>
      </c>
      <c r="X17" s="14" t="n">
        <f aca="false">IF(AND(X$3&gt;=$C17,X$3&lt;=$D17),$E17*(1+الافتراضات!$C$31)^INT((X$3-1)/12),0)</f>
        <v>0</v>
      </c>
      <c r="Y17" s="14" t="n">
        <f aca="false">IF(AND(Y$3&gt;=$C17,Y$3&lt;=$D17),$E17*(1+الافتراضات!$C$31)^INT((Y$3-1)/12),0)</f>
        <v>0</v>
      </c>
      <c r="Z17" s="14" t="n">
        <f aca="false">IF(AND(Z$3&gt;=$C17,Z$3&lt;=$D17),$E17*(1+الافتراضات!$C$31)^INT((Z$3-1)/12),0)</f>
        <v>0</v>
      </c>
      <c r="AA17" s="14" t="n">
        <f aca="false">IF(AND(AA$3&gt;=$C17,AA$3&lt;=$D17),$E17*(1+الافتراضات!$C$31)^INT((AA$3-1)/12),0)</f>
        <v>0</v>
      </c>
      <c r="AB17" s="14" t="n">
        <f aca="false">IF(AND(AB$3&gt;=$C17,AB$3&lt;=$D17),$E17*(1+الافتراضات!$C$31)^INT((AB$3-1)/12),0)</f>
        <v>0</v>
      </c>
      <c r="AC17" s="14" t="n">
        <f aca="false">IF(AND(AC$3&gt;=$C17,AC$3&lt;=$D17),$E17*(1+الافتراضات!$C$31)^INT((AC$3-1)/12),0)</f>
        <v>0</v>
      </c>
      <c r="AD17" s="14" t="n">
        <f aca="false">IF(AND(AD$3&gt;=$C17,AD$3&lt;=$D17),$E17*(1+الافتراضات!$C$31)^INT((AD$3-1)/12),0)</f>
        <v>0</v>
      </c>
      <c r="AE17" s="14" t="n">
        <f aca="false">IF(AND(AE$3&gt;=$C17,AE$3&lt;=$D17),$E17*(1+الافتراضات!$C$31)^INT((AE$3-1)/12),0)</f>
        <v>4961.25</v>
      </c>
      <c r="AF17" s="14" t="n">
        <f aca="false">IF(AND(AF$3&gt;=$C17,AF$3&lt;=$D17),$E17*(1+الافتراضات!$C$31)^INT((AF$3-1)/12),0)</f>
        <v>4961.25</v>
      </c>
      <c r="AG17" s="14" t="n">
        <f aca="false">IF(AND(AG$3&gt;=$C17,AG$3&lt;=$D17),$E17*(1+الافتراضات!$C$31)^INT((AG$3-1)/12),0)</f>
        <v>4961.25</v>
      </c>
      <c r="AH17" s="14" t="n">
        <f aca="false">IF(AND(AH$3&gt;=$C17,AH$3&lt;=$D17),$E17*(1+الافتراضات!$C$31)^INT((AH$3-1)/12),0)</f>
        <v>4961.25</v>
      </c>
      <c r="AI17" s="14" t="n">
        <f aca="false">IF(AND(AI$3&gt;=$C17,AI$3&lt;=$D17),$E17*(1+الافتراضات!$C$31)^INT((AI$3-1)/12),0)</f>
        <v>4961.25</v>
      </c>
      <c r="AJ17" s="14" t="n">
        <f aca="false">IF(AND(AJ$3&gt;=$C17,AJ$3&lt;=$D17),$E17*(1+الافتراضات!$C$31)^INT((AJ$3-1)/12),0)</f>
        <v>4961.25</v>
      </c>
      <c r="AK17" s="14" t="n">
        <f aca="false">IF(AND(AK$3&gt;=$C17,AK$3&lt;=$D17),$E17*(1+الافتراضات!$C$31)^INT((AK$3-1)/12),0)</f>
        <v>4961.25</v>
      </c>
      <c r="AL17" s="14" t="n">
        <f aca="false">IF(AND(AL$3&gt;=$C17,AL$3&lt;=$D17),$E17*(1+الافتراضات!$C$31)^INT((AL$3-1)/12),0)</f>
        <v>4961.25</v>
      </c>
      <c r="AM17" s="14" t="n">
        <f aca="false">IF(AND(AM$3&gt;=$C17,AM$3&lt;=$D17),$E17*(1+الافتراضات!$C$31)^INT((AM$3-1)/12),0)</f>
        <v>4961.25</v>
      </c>
      <c r="AN17" s="14" t="n">
        <f aca="false">IF(AND(AN$3&gt;=$C17,AN$3&lt;=$D17),$E17*(1+الافتراضات!$C$31)^INT((AN$3-1)/12),0)</f>
        <v>4961.25</v>
      </c>
      <c r="AO17" s="14" t="n">
        <f aca="false">IF(AND(AO$3&gt;=$C17,AO$3&lt;=$D17),$E17*(1+الافتراضات!$C$31)^INT((AO$3-1)/12),0)</f>
        <v>4961.25</v>
      </c>
      <c r="AP17" s="14" t="n">
        <f aca="false">IF(AND(AP$3&gt;=$C17,AP$3&lt;=$D17),$E17*(1+الافتراضات!$C$31)^INT((AP$3-1)/12),0)</f>
        <v>4961.25</v>
      </c>
    </row>
    <row r="18" customFormat="false" ht="15" hidden="false" customHeight="false" outlineLevel="0" collapsed="false">
      <c r="A18" s="37" t="s">
        <v>161</v>
      </c>
      <c r="B18" s="37" t="s">
        <v>146</v>
      </c>
      <c r="C18" s="31" t="n">
        <v>25</v>
      </c>
      <c r="D18" s="31" t="n">
        <v>36</v>
      </c>
      <c r="E18" s="34" t="n">
        <v>4000</v>
      </c>
      <c r="G18" s="14" t="n">
        <f aca="false">IF(AND(G$3&gt;=$C18,G$3&lt;=$D18),$E18*(1+الافتراضات!$C$31)^INT((G$3-1)/12),0)</f>
        <v>0</v>
      </c>
      <c r="H18" s="14" t="n">
        <f aca="false">IF(AND(H$3&gt;=$C18,H$3&lt;=$D18),$E18*(1+الافتراضات!$C$31)^INT((H$3-1)/12),0)</f>
        <v>0</v>
      </c>
      <c r="I18" s="14" t="n">
        <f aca="false">IF(AND(I$3&gt;=$C18,I$3&lt;=$D18),$E18*(1+الافتراضات!$C$31)^INT((I$3-1)/12),0)</f>
        <v>0</v>
      </c>
      <c r="J18" s="14" t="n">
        <f aca="false">IF(AND(J$3&gt;=$C18,J$3&lt;=$D18),$E18*(1+الافتراضات!$C$31)^INT((J$3-1)/12),0)</f>
        <v>0</v>
      </c>
      <c r="K18" s="14" t="n">
        <f aca="false">IF(AND(K$3&gt;=$C18,K$3&lt;=$D18),$E18*(1+الافتراضات!$C$31)^INT((K$3-1)/12),0)</f>
        <v>0</v>
      </c>
      <c r="L18" s="14" t="n">
        <f aca="false">IF(AND(L$3&gt;=$C18,L$3&lt;=$D18),$E18*(1+الافتراضات!$C$31)^INT((L$3-1)/12),0)</f>
        <v>0</v>
      </c>
      <c r="M18" s="14" t="n">
        <f aca="false">IF(AND(M$3&gt;=$C18,M$3&lt;=$D18),$E18*(1+الافتراضات!$C$31)^INT((M$3-1)/12),0)</f>
        <v>0</v>
      </c>
      <c r="N18" s="14" t="n">
        <f aca="false">IF(AND(N$3&gt;=$C18,N$3&lt;=$D18),$E18*(1+الافتراضات!$C$31)^INT((N$3-1)/12),0)</f>
        <v>0</v>
      </c>
      <c r="O18" s="14" t="n">
        <f aca="false">IF(AND(O$3&gt;=$C18,O$3&lt;=$D18),$E18*(1+الافتراضات!$C$31)^INT((O$3-1)/12),0)</f>
        <v>0</v>
      </c>
      <c r="P18" s="14" t="n">
        <f aca="false">IF(AND(P$3&gt;=$C18,P$3&lt;=$D18),$E18*(1+الافتراضات!$C$31)^INT((P$3-1)/12),0)</f>
        <v>0</v>
      </c>
      <c r="Q18" s="14" t="n">
        <f aca="false">IF(AND(Q$3&gt;=$C18,Q$3&lt;=$D18),$E18*(1+الافتراضات!$C$31)^INT((Q$3-1)/12),0)</f>
        <v>0</v>
      </c>
      <c r="R18" s="14" t="n">
        <f aca="false">IF(AND(R$3&gt;=$C18,R$3&lt;=$D18),$E18*(1+الافتراضات!$C$31)^INT((R$3-1)/12),0)</f>
        <v>0</v>
      </c>
      <c r="S18" s="14" t="n">
        <f aca="false">IF(AND(S$3&gt;=$C18,S$3&lt;=$D18),$E18*(1+الافتراضات!$C$31)^INT((S$3-1)/12),0)</f>
        <v>0</v>
      </c>
      <c r="T18" s="14" t="n">
        <f aca="false">IF(AND(T$3&gt;=$C18,T$3&lt;=$D18),$E18*(1+الافتراضات!$C$31)^INT((T$3-1)/12),0)</f>
        <v>0</v>
      </c>
      <c r="U18" s="14" t="n">
        <f aca="false">IF(AND(U$3&gt;=$C18,U$3&lt;=$D18),$E18*(1+الافتراضات!$C$31)^INT((U$3-1)/12),0)</f>
        <v>0</v>
      </c>
      <c r="V18" s="14" t="n">
        <f aca="false">IF(AND(V$3&gt;=$C18,V$3&lt;=$D18),$E18*(1+الافتراضات!$C$31)^INT((V$3-1)/12),0)</f>
        <v>0</v>
      </c>
      <c r="W18" s="14" t="n">
        <f aca="false">IF(AND(W$3&gt;=$C18,W$3&lt;=$D18),$E18*(1+الافتراضات!$C$31)^INT((W$3-1)/12),0)</f>
        <v>0</v>
      </c>
      <c r="X18" s="14" t="n">
        <f aca="false">IF(AND(X$3&gt;=$C18,X$3&lt;=$D18),$E18*(1+الافتراضات!$C$31)^INT((X$3-1)/12),0)</f>
        <v>0</v>
      </c>
      <c r="Y18" s="14" t="n">
        <f aca="false">IF(AND(Y$3&gt;=$C18,Y$3&lt;=$D18),$E18*(1+الافتراضات!$C$31)^INT((Y$3-1)/12),0)</f>
        <v>0</v>
      </c>
      <c r="Z18" s="14" t="n">
        <f aca="false">IF(AND(Z$3&gt;=$C18,Z$3&lt;=$D18),$E18*(1+الافتراضات!$C$31)^INT((Z$3-1)/12),0)</f>
        <v>0</v>
      </c>
      <c r="AA18" s="14" t="n">
        <f aca="false">IF(AND(AA$3&gt;=$C18,AA$3&lt;=$D18),$E18*(1+الافتراضات!$C$31)^INT((AA$3-1)/12),0)</f>
        <v>0</v>
      </c>
      <c r="AB18" s="14" t="n">
        <f aca="false">IF(AND(AB$3&gt;=$C18,AB$3&lt;=$D18),$E18*(1+الافتراضات!$C$31)^INT((AB$3-1)/12),0)</f>
        <v>0</v>
      </c>
      <c r="AC18" s="14" t="n">
        <f aca="false">IF(AND(AC$3&gt;=$C18,AC$3&lt;=$D18),$E18*(1+الافتراضات!$C$31)^INT((AC$3-1)/12),0)</f>
        <v>0</v>
      </c>
      <c r="AD18" s="14" t="n">
        <f aca="false">IF(AND(AD$3&gt;=$C18,AD$3&lt;=$D18),$E18*(1+الافتراضات!$C$31)^INT((AD$3-1)/12),0)</f>
        <v>0</v>
      </c>
      <c r="AE18" s="14" t="n">
        <f aca="false">IF(AND(AE$3&gt;=$C18,AE$3&lt;=$D18),$E18*(1+الافتراضات!$C$31)^INT((AE$3-1)/12),0)</f>
        <v>4410</v>
      </c>
      <c r="AF18" s="14" t="n">
        <f aca="false">IF(AND(AF$3&gt;=$C18,AF$3&lt;=$D18),$E18*(1+الافتراضات!$C$31)^INT((AF$3-1)/12),0)</f>
        <v>4410</v>
      </c>
      <c r="AG18" s="14" t="n">
        <f aca="false">IF(AND(AG$3&gt;=$C18,AG$3&lt;=$D18),$E18*(1+الافتراضات!$C$31)^INT((AG$3-1)/12),0)</f>
        <v>4410</v>
      </c>
      <c r="AH18" s="14" t="n">
        <f aca="false">IF(AND(AH$3&gt;=$C18,AH$3&lt;=$D18),$E18*(1+الافتراضات!$C$31)^INT((AH$3-1)/12),0)</f>
        <v>4410</v>
      </c>
      <c r="AI18" s="14" t="n">
        <f aca="false">IF(AND(AI$3&gt;=$C18,AI$3&lt;=$D18),$E18*(1+الافتراضات!$C$31)^INT((AI$3-1)/12),0)</f>
        <v>4410</v>
      </c>
      <c r="AJ18" s="14" t="n">
        <f aca="false">IF(AND(AJ$3&gt;=$C18,AJ$3&lt;=$D18),$E18*(1+الافتراضات!$C$31)^INT((AJ$3-1)/12),0)</f>
        <v>4410</v>
      </c>
      <c r="AK18" s="14" t="n">
        <f aca="false">IF(AND(AK$3&gt;=$C18,AK$3&lt;=$D18),$E18*(1+الافتراضات!$C$31)^INT((AK$3-1)/12),0)</f>
        <v>4410</v>
      </c>
      <c r="AL18" s="14" t="n">
        <f aca="false">IF(AND(AL$3&gt;=$C18,AL$3&lt;=$D18),$E18*(1+الافتراضات!$C$31)^INT((AL$3-1)/12),0)</f>
        <v>4410</v>
      </c>
      <c r="AM18" s="14" t="n">
        <f aca="false">IF(AND(AM$3&gt;=$C18,AM$3&lt;=$D18),$E18*(1+الافتراضات!$C$31)^INT((AM$3-1)/12),0)</f>
        <v>4410</v>
      </c>
      <c r="AN18" s="14" t="n">
        <f aca="false">IF(AND(AN$3&gt;=$C18,AN$3&lt;=$D18),$E18*(1+الافتراضات!$C$31)^INT((AN$3-1)/12),0)</f>
        <v>4410</v>
      </c>
      <c r="AO18" s="14" t="n">
        <f aca="false">IF(AND(AO$3&gt;=$C18,AO$3&lt;=$D18),$E18*(1+الافتراضات!$C$31)^INT((AO$3-1)/12),0)</f>
        <v>4410</v>
      </c>
      <c r="AP18" s="14" t="n">
        <f aca="false">IF(AND(AP$3&gt;=$C18,AP$3&lt;=$D18),$E18*(1+الافتراضات!$C$31)^INT((AP$3-1)/12),0)</f>
        <v>4410</v>
      </c>
    </row>
    <row r="19" customFormat="false" ht="15" hidden="false" customHeight="false" outlineLevel="0" collapsed="false">
      <c r="A19" s="37" t="s">
        <v>162</v>
      </c>
      <c r="B19" s="37" t="s">
        <v>146</v>
      </c>
      <c r="C19" s="31" t="n">
        <v>25</v>
      </c>
      <c r="D19" s="31" t="n">
        <v>36</v>
      </c>
      <c r="E19" s="34" t="n">
        <v>2000</v>
      </c>
      <c r="G19" s="14" t="n">
        <f aca="false">IF(AND(G$3&gt;=$C19,G$3&lt;=$D19),$E19*(1+الافتراضات!$C$31)^INT((G$3-1)/12),0)</f>
        <v>0</v>
      </c>
      <c r="H19" s="14" t="n">
        <f aca="false">IF(AND(H$3&gt;=$C19,H$3&lt;=$D19),$E19*(1+الافتراضات!$C$31)^INT((H$3-1)/12),0)</f>
        <v>0</v>
      </c>
      <c r="I19" s="14" t="n">
        <f aca="false">IF(AND(I$3&gt;=$C19,I$3&lt;=$D19),$E19*(1+الافتراضات!$C$31)^INT((I$3-1)/12),0)</f>
        <v>0</v>
      </c>
      <c r="J19" s="14" t="n">
        <f aca="false">IF(AND(J$3&gt;=$C19,J$3&lt;=$D19),$E19*(1+الافتراضات!$C$31)^INT((J$3-1)/12),0)</f>
        <v>0</v>
      </c>
      <c r="K19" s="14" t="n">
        <f aca="false">IF(AND(K$3&gt;=$C19,K$3&lt;=$D19),$E19*(1+الافتراضات!$C$31)^INT((K$3-1)/12),0)</f>
        <v>0</v>
      </c>
      <c r="L19" s="14" t="n">
        <f aca="false">IF(AND(L$3&gt;=$C19,L$3&lt;=$D19),$E19*(1+الافتراضات!$C$31)^INT((L$3-1)/12),0)</f>
        <v>0</v>
      </c>
      <c r="M19" s="14" t="n">
        <f aca="false">IF(AND(M$3&gt;=$C19,M$3&lt;=$D19),$E19*(1+الافتراضات!$C$31)^INT((M$3-1)/12),0)</f>
        <v>0</v>
      </c>
      <c r="N19" s="14" t="n">
        <f aca="false">IF(AND(N$3&gt;=$C19,N$3&lt;=$D19),$E19*(1+الافتراضات!$C$31)^INT((N$3-1)/12),0)</f>
        <v>0</v>
      </c>
      <c r="O19" s="14" t="n">
        <f aca="false">IF(AND(O$3&gt;=$C19,O$3&lt;=$D19),$E19*(1+الافتراضات!$C$31)^INT((O$3-1)/12),0)</f>
        <v>0</v>
      </c>
      <c r="P19" s="14" t="n">
        <f aca="false">IF(AND(P$3&gt;=$C19,P$3&lt;=$D19),$E19*(1+الافتراضات!$C$31)^INT((P$3-1)/12),0)</f>
        <v>0</v>
      </c>
      <c r="Q19" s="14" t="n">
        <f aca="false">IF(AND(Q$3&gt;=$C19,Q$3&lt;=$D19),$E19*(1+الافتراضات!$C$31)^INT((Q$3-1)/12),0)</f>
        <v>0</v>
      </c>
      <c r="R19" s="14" t="n">
        <f aca="false">IF(AND(R$3&gt;=$C19,R$3&lt;=$D19),$E19*(1+الافتراضات!$C$31)^INT((R$3-1)/12),0)</f>
        <v>0</v>
      </c>
      <c r="S19" s="14" t="n">
        <f aca="false">IF(AND(S$3&gt;=$C19,S$3&lt;=$D19),$E19*(1+الافتراضات!$C$31)^INT((S$3-1)/12),0)</f>
        <v>0</v>
      </c>
      <c r="T19" s="14" t="n">
        <f aca="false">IF(AND(T$3&gt;=$C19,T$3&lt;=$D19),$E19*(1+الافتراضات!$C$31)^INT((T$3-1)/12),0)</f>
        <v>0</v>
      </c>
      <c r="U19" s="14" t="n">
        <f aca="false">IF(AND(U$3&gt;=$C19,U$3&lt;=$D19),$E19*(1+الافتراضات!$C$31)^INT((U$3-1)/12),0)</f>
        <v>0</v>
      </c>
      <c r="V19" s="14" t="n">
        <f aca="false">IF(AND(V$3&gt;=$C19,V$3&lt;=$D19),$E19*(1+الافتراضات!$C$31)^INT((V$3-1)/12),0)</f>
        <v>0</v>
      </c>
      <c r="W19" s="14" t="n">
        <f aca="false">IF(AND(W$3&gt;=$C19,W$3&lt;=$D19),$E19*(1+الافتراضات!$C$31)^INT((W$3-1)/12),0)</f>
        <v>0</v>
      </c>
      <c r="X19" s="14" t="n">
        <f aca="false">IF(AND(X$3&gt;=$C19,X$3&lt;=$D19),$E19*(1+الافتراضات!$C$31)^INT((X$3-1)/12),0)</f>
        <v>0</v>
      </c>
      <c r="Y19" s="14" t="n">
        <f aca="false">IF(AND(Y$3&gt;=$C19,Y$3&lt;=$D19),$E19*(1+الافتراضات!$C$31)^INT((Y$3-1)/12),0)</f>
        <v>0</v>
      </c>
      <c r="Z19" s="14" t="n">
        <f aca="false">IF(AND(Z$3&gt;=$C19,Z$3&lt;=$D19),$E19*(1+الافتراضات!$C$31)^INT((Z$3-1)/12),0)</f>
        <v>0</v>
      </c>
      <c r="AA19" s="14" t="n">
        <f aca="false">IF(AND(AA$3&gt;=$C19,AA$3&lt;=$D19),$E19*(1+الافتراضات!$C$31)^INT((AA$3-1)/12),0)</f>
        <v>0</v>
      </c>
      <c r="AB19" s="14" t="n">
        <f aca="false">IF(AND(AB$3&gt;=$C19,AB$3&lt;=$D19),$E19*(1+الافتراضات!$C$31)^INT((AB$3-1)/12),0)</f>
        <v>0</v>
      </c>
      <c r="AC19" s="14" t="n">
        <f aca="false">IF(AND(AC$3&gt;=$C19,AC$3&lt;=$D19),$E19*(1+الافتراضات!$C$31)^INT((AC$3-1)/12),0)</f>
        <v>0</v>
      </c>
      <c r="AD19" s="14" t="n">
        <f aca="false">IF(AND(AD$3&gt;=$C19,AD$3&lt;=$D19),$E19*(1+الافتراضات!$C$31)^INT((AD$3-1)/12),0)</f>
        <v>0</v>
      </c>
      <c r="AE19" s="14" t="n">
        <f aca="false">IF(AND(AE$3&gt;=$C19,AE$3&lt;=$D19),$E19*(1+الافتراضات!$C$31)^INT((AE$3-1)/12),0)</f>
        <v>2205</v>
      </c>
      <c r="AF19" s="14" t="n">
        <f aca="false">IF(AND(AF$3&gt;=$C19,AF$3&lt;=$D19),$E19*(1+الافتراضات!$C$31)^INT((AF$3-1)/12),0)</f>
        <v>2205</v>
      </c>
      <c r="AG19" s="14" t="n">
        <f aca="false">IF(AND(AG$3&gt;=$C19,AG$3&lt;=$D19),$E19*(1+الافتراضات!$C$31)^INT((AG$3-1)/12),0)</f>
        <v>2205</v>
      </c>
      <c r="AH19" s="14" t="n">
        <f aca="false">IF(AND(AH$3&gt;=$C19,AH$3&lt;=$D19),$E19*(1+الافتراضات!$C$31)^INT((AH$3-1)/12),0)</f>
        <v>2205</v>
      </c>
      <c r="AI19" s="14" t="n">
        <f aca="false">IF(AND(AI$3&gt;=$C19,AI$3&lt;=$D19),$E19*(1+الافتراضات!$C$31)^INT((AI$3-1)/12),0)</f>
        <v>2205</v>
      </c>
      <c r="AJ19" s="14" t="n">
        <f aca="false">IF(AND(AJ$3&gt;=$C19,AJ$3&lt;=$D19),$E19*(1+الافتراضات!$C$31)^INT((AJ$3-1)/12),0)</f>
        <v>2205</v>
      </c>
      <c r="AK19" s="14" t="n">
        <f aca="false">IF(AND(AK$3&gt;=$C19,AK$3&lt;=$D19),$E19*(1+الافتراضات!$C$31)^INT((AK$3-1)/12),0)</f>
        <v>2205</v>
      </c>
      <c r="AL19" s="14" t="n">
        <f aca="false">IF(AND(AL$3&gt;=$C19,AL$3&lt;=$D19),$E19*(1+الافتراضات!$C$31)^INT((AL$3-1)/12),0)</f>
        <v>2205</v>
      </c>
      <c r="AM19" s="14" t="n">
        <f aca="false">IF(AND(AM$3&gt;=$C19,AM$3&lt;=$D19),$E19*(1+الافتراضات!$C$31)^INT((AM$3-1)/12),0)</f>
        <v>2205</v>
      </c>
      <c r="AN19" s="14" t="n">
        <f aca="false">IF(AND(AN$3&gt;=$C19,AN$3&lt;=$D19),$E19*(1+الافتراضات!$C$31)^INT((AN$3-1)/12),0)</f>
        <v>2205</v>
      </c>
      <c r="AO19" s="14" t="n">
        <f aca="false">IF(AND(AO$3&gt;=$C19,AO$3&lt;=$D19),$E19*(1+الافتراضات!$C$31)^INT((AO$3-1)/12),0)</f>
        <v>2205</v>
      </c>
      <c r="AP19" s="14" t="n">
        <f aca="false">IF(AND(AP$3&gt;=$C19,AP$3&lt;=$D19),$E19*(1+الافتراضات!$C$31)^INT((AP$3-1)/12),0)</f>
        <v>2205</v>
      </c>
    </row>
    <row r="20" customFormat="false" ht="15" hidden="false" customHeight="false" outlineLevel="0" collapsed="false">
      <c r="A20" s="37" t="s">
        <v>163</v>
      </c>
      <c r="B20" s="37" t="s">
        <v>146</v>
      </c>
      <c r="C20" s="31" t="n">
        <v>25</v>
      </c>
      <c r="D20" s="31" t="n">
        <v>36</v>
      </c>
      <c r="E20" s="34" t="n">
        <v>4000</v>
      </c>
      <c r="G20" s="14" t="n">
        <f aca="false">IF(AND(G$3&gt;=$C20,G$3&lt;=$D20),$E20*(1+الافتراضات!$C$31)^INT((G$3-1)/12),0)</f>
        <v>0</v>
      </c>
      <c r="H20" s="14" t="n">
        <f aca="false">IF(AND(H$3&gt;=$C20,H$3&lt;=$D20),$E20*(1+الافتراضات!$C$31)^INT((H$3-1)/12),0)</f>
        <v>0</v>
      </c>
      <c r="I20" s="14" t="n">
        <f aca="false">IF(AND(I$3&gt;=$C20,I$3&lt;=$D20),$E20*(1+الافتراضات!$C$31)^INT((I$3-1)/12),0)</f>
        <v>0</v>
      </c>
      <c r="J20" s="14" t="n">
        <f aca="false">IF(AND(J$3&gt;=$C20,J$3&lt;=$D20),$E20*(1+الافتراضات!$C$31)^INT((J$3-1)/12),0)</f>
        <v>0</v>
      </c>
      <c r="K20" s="14" t="n">
        <f aca="false">IF(AND(K$3&gt;=$C20,K$3&lt;=$D20),$E20*(1+الافتراضات!$C$31)^INT((K$3-1)/12),0)</f>
        <v>0</v>
      </c>
      <c r="L20" s="14" t="n">
        <f aca="false">IF(AND(L$3&gt;=$C20,L$3&lt;=$D20),$E20*(1+الافتراضات!$C$31)^INT((L$3-1)/12),0)</f>
        <v>0</v>
      </c>
      <c r="M20" s="14" t="n">
        <f aca="false">IF(AND(M$3&gt;=$C20,M$3&lt;=$D20),$E20*(1+الافتراضات!$C$31)^INT((M$3-1)/12),0)</f>
        <v>0</v>
      </c>
      <c r="N20" s="14" t="n">
        <f aca="false">IF(AND(N$3&gt;=$C20,N$3&lt;=$D20),$E20*(1+الافتراضات!$C$31)^INT((N$3-1)/12),0)</f>
        <v>0</v>
      </c>
      <c r="O20" s="14" t="n">
        <f aca="false">IF(AND(O$3&gt;=$C20,O$3&lt;=$D20),$E20*(1+الافتراضات!$C$31)^INT((O$3-1)/12),0)</f>
        <v>0</v>
      </c>
      <c r="P20" s="14" t="n">
        <f aca="false">IF(AND(P$3&gt;=$C20,P$3&lt;=$D20),$E20*(1+الافتراضات!$C$31)^INT((P$3-1)/12),0)</f>
        <v>0</v>
      </c>
      <c r="Q20" s="14" t="n">
        <f aca="false">IF(AND(Q$3&gt;=$C20,Q$3&lt;=$D20),$E20*(1+الافتراضات!$C$31)^INT((Q$3-1)/12),0)</f>
        <v>0</v>
      </c>
      <c r="R20" s="14" t="n">
        <f aca="false">IF(AND(R$3&gt;=$C20,R$3&lt;=$D20),$E20*(1+الافتراضات!$C$31)^INT((R$3-1)/12),0)</f>
        <v>0</v>
      </c>
      <c r="S20" s="14" t="n">
        <f aca="false">IF(AND(S$3&gt;=$C20,S$3&lt;=$D20),$E20*(1+الافتراضات!$C$31)^INT((S$3-1)/12),0)</f>
        <v>0</v>
      </c>
      <c r="T20" s="14" t="n">
        <f aca="false">IF(AND(T$3&gt;=$C20,T$3&lt;=$D20),$E20*(1+الافتراضات!$C$31)^INT((T$3-1)/12),0)</f>
        <v>0</v>
      </c>
      <c r="U20" s="14" t="n">
        <f aca="false">IF(AND(U$3&gt;=$C20,U$3&lt;=$D20),$E20*(1+الافتراضات!$C$31)^INT((U$3-1)/12),0)</f>
        <v>0</v>
      </c>
      <c r="V20" s="14" t="n">
        <f aca="false">IF(AND(V$3&gt;=$C20,V$3&lt;=$D20),$E20*(1+الافتراضات!$C$31)^INT((V$3-1)/12),0)</f>
        <v>0</v>
      </c>
      <c r="W20" s="14" t="n">
        <f aca="false">IF(AND(W$3&gt;=$C20,W$3&lt;=$D20),$E20*(1+الافتراضات!$C$31)^INT((W$3-1)/12),0)</f>
        <v>0</v>
      </c>
      <c r="X20" s="14" t="n">
        <f aca="false">IF(AND(X$3&gt;=$C20,X$3&lt;=$D20),$E20*(1+الافتراضات!$C$31)^INT((X$3-1)/12),0)</f>
        <v>0</v>
      </c>
      <c r="Y20" s="14" t="n">
        <f aca="false">IF(AND(Y$3&gt;=$C20,Y$3&lt;=$D20),$E20*(1+الافتراضات!$C$31)^INT((Y$3-1)/12),0)</f>
        <v>0</v>
      </c>
      <c r="Z20" s="14" t="n">
        <f aca="false">IF(AND(Z$3&gt;=$C20,Z$3&lt;=$D20),$E20*(1+الافتراضات!$C$31)^INT((Z$3-1)/12),0)</f>
        <v>0</v>
      </c>
      <c r="AA20" s="14" t="n">
        <f aca="false">IF(AND(AA$3&gt;=$C20,AA$3&lt;=$D20),$E20*(1+الافتراضات!$C$31)^INT((AA$3-1)/12),0)</f>
        <v>0</v>
      </c>
      <c r="AB20" s="14" t="n">
        <f aca="false">IF(AND(AB$3&gt;=$C20,AB$3&lt;=$D20),$E20*(1+الافتراضات!$C$31)^INT((AB$3-1)/12),0)</f>
        <v>0</v>
      </c>
      <c r="AC20" s="14" t="n">
        <f aca="false">IF(AND(AC$3&gt;=$C20,AC$3&lt;=$D20),$E20*(1+الافتراضات!$C$31)^INT((AC$3-1)/12),0)</f>
        <v>0</v>
      </c>
      <c r="AD20" s="14" t="n">
        <f aca="false">IF(AND(AD$3&gt;=$C20,AD$3&lt;=$D20),$E20*(1+الافتراضات!$C$31)^INT((AD$3-1)/12),0)</f>
        <v>0</v>
      </c>
      <c r="AE20" s="14" t="n">
        <f aca="false">IF(AND(AE$3&gt;=$C20,AE$3&lt;=$D20),$E20*(1+الافتراضات!$C$31)^INT((AE$3-1)/12),0)</f>
        <v>4410</v>
      </c>
      <c r="AF20" s="14" t="n">
        <f aca="false">IF(AND(AF$3&gt;=$C20,AF$3&lt;=$D20),$E20*(1+الافتراضات!$C$31)^INT((AF$3-1)/12),0)</f>
        <v>4410</v>
      </c>
      <c r="AG20" s="14" t="n">
        <f aca="false">IF(AND(AG$3&gt;=$C20,AG$3&lt;=$D20),$E20*(1+الافتراضات!$C$31)^INT((AG$3-1)/12),0)</f>
        <v>4410</v>
      </c>
      <c r="AH20" s="14" t="n">
        <f aca="false">IF(AND(AH$3&gt;=$C20,AH$3&lt;=$D20),$E20*(1+الافتراضات!$C$31)^INT((AH$3-1)/12),0)</f>
        <v>4410</v>
      </c>
      <c r="AI20" s="14" t="n">
        <f aca="false">IF(AND(AI$3&gt;=$C20,AI$3&lt;=$D20),$E20*(1+الافتراضات!$C$31)^INT((AI$3-1)/12),0)</f>
        <v>4410</v>
      </c>
      <c r="AJ20" s="14" t="n">
        <f aca="false">IF(AND(AJ$3&gt;=$C20,AJ$3&lt;=$D20),$E20*(1+الافتراضات!$C$31)^INT((AJ$3-1)/12),0)</f>
        <v>4410</v>
      </c>
      <c r="AK20" s="14" t="n">
        <f aca="false">IF(AND(AK$3&gt;=$C20,AK$3&lt;=$D20),$E20*(1+الافتراضات!$C$31)^INT((AK$3-1)/12),0)</f>
        <v>4410</v>
      </c>
      <c r="AL20" s="14" t="n">
        <f aca="false">IF(AND(AL$3&gt;=$C20,AL$3&lt;=$D20),$E20*(1+الافتراضات!$C$31)^INT((AL$3-1)/12),0)</f>
        <v>4410</v>
      </c>
      <c r="AM20" s="14" t="n">
        <f aca="false">IF(AND(AM$3&gt;=$C20,AM$3&lt;=$D20),$E20*(1+الافتراضات!$C$31)^INT((AM$3-1)/12),0)</f>
        <v>4410</v>
      </c>
      <c r="AN20" s="14" t="n">
        <f aca="false">IF(AND(AN$3&gt;=$C20,AN$3&lt;=$D20),$E20*(1+الافتراضات!$C$31)^INT((AN$3-1)/12),0)</f>
        <v>4410</v>
      </c>
      <c r="AO20" s="14" t="n">
        <f aca="false">IF(AND(AO$3&gt;=$C20,AO$3&lt;=$D20),$E20*(1+الافتراضات!$C$31)^INT((AO$3-1)/12),0)</f>
        <v>4410</v>
      </c>
      <c r="AP20" s="14" t="n">
        <f aca="false">IF(AND(AP$3&gt;=$C20,AP$3&lt;=$D20),$E20*(1+الافتراضات!$C$31)^INT((AP$3-1)/12),0)</f>
        <v>4410</v>
      </c>
    </row>
    <row r="22" customFormat="false" ht="15" hidden="false" customHeight="false" outlineLevel="0" collapsed="false">
      <c r="A22" s="40" t="s">
        <v>164</v>
      </c>
      <c r="G22" s="41" t="n">
        <f aca="false">SUM(G4:G20)</f>
        <v>6500</v>
      </c>
      <c r="H22" s="41" t="n">
        <f aca="false">SUM(H4:H20)</f>
        <v>10500</v>
      </c>
      <c r="I22" s="41" t="n">
        <f aca="false">SUM(I4:I20)</f>
        <v>10500</v>
      </c>
      <c r="J22" s="41" t="n">
        <f aca="false">SUM(J4:J20)</f>
        <v>10500</v>
      </c>
      <c r="K22" s="41" t="n">
        <f aca="false">SUM(K4:K20)</f>
        <v>10500</v>
      </c>
      <c r="L22" s="41" t="n">
        <f aca="false">SUM(L4:L20)</f>
        <v>10500</v>
      </c>
      <c r="M22" s="41" t="n">
        <f aca="false">SUM(M4:M20)</f>
        <v>11700</v>
      </c>
      <c r="N22" s="41" t="n">
        <f aca="false">SUM(N4:N20)</f>
        <v>11700</v>
      </c>
      <c r="O22" s="41" t="n">
        <f aca="false">SUM(O4:O20)</f>
        <v>11700</v>
      </c>
      <c r="P22" s="41" t="n">
        <f aca="false">SUM(P4:P20)</f>
        <v>11700</v>
      </c>
      <c r="Q22" s="41" t="n">
        <f aca="false">SUM(Q4:Q20)</f>
        <v>16500</v>
      </c>
      <c r="R22" s="41" t="n">
        <f aca="false">SUM(R4:R20)</f>
        <v>25500</v>
      </c>
      <c r="S22" s="41" t="n">
        <f aca="false">SUM(S4:S20)</f>
        <v>35175</v>
      </c>
      <c r="T22" s="41" t="n">
        <f aca="false">SUM(T4:T20)</f>
        <v>35175</v>
      </c>
      <c r="U22" s="41" t="n">
        <f aca="false">SUM(U4:U20)</f>
        <v>35175</v>
      </c>
      <c r="V22" s="41" t="n">
        <f aca="false">SUM(V4:V20)</f>
        <v>35175</v>
      </c>
      <c r="W22" s="41" t="n">
        <f aca="false">SUM(W4:W20)</f>
        <v>35175</v>
      </c>
      <c r="X22" s="41" t="n">
        <f aca="false">SUM(X4:X20)</f>
        <v>35175</v>
      </c>
      <c r="Y22" s="41" t="n">
        <f aca="false">SUM(Y4:Y20)</f>
        <v>35175</v>
      </c>
      <c r="Z22" s="41" t="n">
        <f aca="false">SUM(Z4:Z20)</f>
        <v>35175</v>
      </c>
      <c r="AA22" s="41" t="n">
        <f aca="false">SUM(AA4:AA20)</f>
        <v>35175</v>
      </c>
      <c r="AB22" s="41" t="n">
        <f aca="false">SUM(AB4:AB20)</f>
        <v>35175</v>
      </c>
      <c r="AC22" s="41" t="n">
        <f aca="false">SUM(AC4:AC20)</f>
        <v>35175</v>
      </c>
      <c r="AD22" s="41" t="n">
        <f aca="false">SUM(AD4:AD20)</f>
        <v>35175</v>
      </c>
      <c r="AE22" s="41" t="n">
        <f aca="false">SUM(AE4:AE20)</f>
        <v>57881.25</v>
      </c>
      <c r="AF22" s="41" t="n">
        <f aca="false">SUM(AF4:AF20)</f>
        <v>57881.25</v>
      </c>
      <c r="AG22" s="41" t="n">
        <f aca="false">SUM(AG4:AG20)</f>
        <v>57881.25</v>
      </c>
      <c r="AH22" s="41" t="n">
        <f aca="false">SUM(AH4:AH20)</f>
        <v>57881.25</v>
      </c>
      <c r="AI22" s="41" t="n">
        <f aca="false">SUM(AI4:AI20)</f>
        <v>57881.25</v>
      </c>
      <c r="AJ22" s="41" t="n">
        <f aca="false">SUM(AJ4:AJ20)</f>
        <v>57881.25</v>
      </c>
      <c r="AK22" s="41" t="n">
        <f aca="false">SUM(AK4:AK20)</f>
        <v>57881.25</v>
      </c>
      <c r="AL22" s="41" t="n">
        <f aca="false">SUM(AL4:AL20)</f>
        <v>57881.25</v>
      </c>
      <c r="AM22" s="41" t="n">
        <f aca="false">SUM(AM4:AM20)</f>
        <v>57881.25</v>
      </c>
      <c r="AN22" s="41" t="n">
        <f aca="false">SUM(AN4:AN20)</f>
        <v>57881.25</v>
      </c>
      <c r="AO22" s="41" t="n">
        <f aca="false">SUM(AO4:AO20)</f>
        <v>57881.25</v>
      </c>
      <c r="AP22" s="41" t="n">
        <f aca="false">SUM(AP4:AP20)</f>
        <v>57881.25</v>
      </c>
    </row>
    <row r="23" customFormat="false" ht="15" hidden="false" customHeight="false" outlineLevel="0" collapsed="false">
      <c r="A23" s="40" t="s">
        <v>165</v>
      </c>
      <c r="G23" s="12" t="n">
        <f aca="false">COUNTIF(G4:G20,"&gt;0")</f>
        <v>2</v>
      </c>
      <c r="H23" s="12" t="n">
        <f aca="false">COUNTIF(H4:H20,"&gt;0")</f>
        <v>3</v>
      </c>
      <c r="I23" s="12" t="n">
        <f aca="false">COUNTIF(I4:I20,"&gt;0")</f>
        <v>3</v>
      </c>
      <c r="J23" s="12" t="n">
        <f aca="false">COUNTIF(J4:J20,"&gt;0")</f>
        <v>3</v>
      </c>
      <c r="K23" s="12" t="n">
        <f aca="false">COUNTIF(K4:K20,"&gt;0")</f>
        <v>3</v>
      </c>
      <c r="L23" s="12" t="n">
        <f aca="false">COUNTIF(L4:L20,"&gt;0")</f>
        <v>3</v>
      </c>
      <c r="M23" s="12" t="n">
        <f aca="false">COUNTIF(M4:M20,"&gt;0")</f>
        <v>4</v>
      </c>
      <c r="N23" s="12" t="n">
        <f aca="false">COUNTIF(N4:N20,"&gt;0")</f>
        <v>4</v>
      </c>
      <c r="O23" s="12" t="n">
        <f aca="false">COUNTIF(O4:O20,"&gt;0")</f>
        <v>4</v>
      </c>
      <c r="P23" s="12" t="n">
        <f aca="false">COUNTIF(P4:P20,"&gt;0")</f>
        <v>4</v>
      </c>
      <c r="Q23" s="12" t="n">
        <f aca="false">COUNTIF(Q4:Q20,"&gt;0")</f>
        <v>5</v>
      </c>
      <c r="R23" s="12" t="n">
        <f aca="false">COUNTIF(R4:R20,"&gt;0")</f>
        <v>8</v>
      </c>
      <c r="S23" s="12" t="n">
        <f aca="false">COUNTIF(S4:S20,"&gt;0")</f>
        <v>10</v>
      </c>
      <c r="T23" s="12" t="n">
        <f aca="false">COUNTIF(T4:T20,"&gt;0")</f>
        <v>10</v>
      </c>
      <c r="U23" s="12" t="n">
        <f aca="false">COUNTIF(U4:U20,"&gt;0")</f>
        <v>10</v>
      </c>
      <c r="V23" s="12" t="n">
        <f aca="false">COUNTIF(V4:V20,"&gt;0")</f>
        <v>10</v>
      </c>
      <c r="W23" s="12" t="n">
        <f aca="false">COUNTIF(W4:W20,"&gt;0")</f>
        <v>10</v>
      </c>
      <c r="X23" s="12" t="n">
        <f aca="false">COUNTIF(X4:X20,"&gt;0")</f>
        <v>10</v>
      </c>
      <c r="Y23" s="12" t="n">
        <f aca="false">COUNTIF(Y4:Y20,"&gt;0")</f>
        <v>10</v>
      </c>
      <c r="Z23" s="12" t="n">
        <f aca="false">COUNTIF(Z4:Z20,"&gt;0")</f>
        <v>10</v>
      </c>
      <c r="AA23" s="12" t="n">
        <f aca="false">COUNTIF(AA4:AA20,"&gt;0")</f>
        <v>10</v>
      </c>
      <c r="AB23" s="12" t="n">
        <f aca="false">COUNTIF(AB4:AB20,"&gt;0")</f>
        <v>10</v>
      </c>
      <c r="AC23" s="12" t="n">
        <f aca="false">COUNTIF(AC4:AC20,"&gt;0")</f>
        <v>10</v>
      </c>
      <c r="AD23" s="12" t="n">
        <f aca="false">COUNTIF(AD4:AD20,"&gt;0")</f>
        <v>10</v>
      </c>
      <c r="AE23" s="12" t="n">
        <f aca="false">COUNTIF(AE4:AE20,"&gt;0")</f>
        <v>15</v>
      </c>
      <c r="AF23" s="12" t="n">
        <f aca="false">COUNTIF(AF4:AF20,"&gt;0")</f>
        <v>15</v>
      </c>
      <c r="AG23" s="12" t="n">
        <f aca="false">COUNTIF(AG4:AG20,"&gt;0")</f>
        <v>15</v>
      </c>
      <c r="AH23" s="12" t="n">
        <f aca="false">COUNTIF(AH4:AH20,"&gt;0")</f>
        <v>15</v>
      </c>
      <c r="AI23" s="12" t="n">
        <f aca="false">COUNTIF(AI4:AI20,"&gt;0")</f>
        <v>15</v>
      </c>
      <c r="AJ23" s="12" t="n">
        <f aca="false">COUNTIF(AJ4:AJ20,"&gt;0")</f>
        <v>15</v>
      </c>
      <c r="AK23" s="12" t="n">
        <f aca="false">COUNTIF(AK4:AK20,"&gt;0")</f>
        <v>15</v>
      </c>
      <c r="AL23" s="12" t="n">
        <f aca="false">COUNTIF(AL4:AL20,"&gt;0")</f>
        <v>15</v>
      </c>
      <c r="AM23" s="12" t="n">
        <f aca="false">COUNTIF(AM4:AM20,"&gt;0")</f>
        <v>15</v>
      </c>
      <c r="AN23" s="12" t="n">
        <f aca="false">COUNTIF(AN4:AN20,"&gt;0")</f>
        <v>15</v>
      </c>
      <c r="AO23" s="12" t="n">
        <f aca="false">COUNTIF(AO4:AO20,"&gt;0")</f>
        <v>15</v>
      </c>
      <c r="AP23" s="12" t="n">
        <f aca="false">COUNTIF(AP4:AP20,"&gt;0")</f>
        <v>15</v>
      </c>
    </row>
    <row r="25" customFormat="false" ht="15" hidden="false" customHeight="false" outlineLevel="0" collapsed="false">
      <c r="A25" s="38" t="s">
        <v>166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47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8"/>
    <col collapsed="false" customWidth="true" hidden="false" outlineLevel="0" max="38" min="3" style="0" width="11"/>
  </cols>
  <sheetData>
    <row r="1" customFormat="false" ht="25.5" hidden="false" customHeight="true" outlineLevel="0" collapsed="false">
      <c r="A1" s="1" t="s">
        <v>167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15" hidden="false" customHeight="false" outlineLevel="0" collapsed="false">
      <c r="A3" s="42" t="s">
        <v>168</v>
      </c>
      <c r="B3" s="43"/>
      <c r="C3" s="39" t="n">
        <v>1</v>
      </c>
      <c r="D3" s="39" t="n">
        <v>2</v>
      </c>
      <c r="E3" s="39" t="n">
        <v>3</v>
      </c>
      <c r="F3" s="39" t="n">
        <v>4</v>
      </c>
      <c r="G3" s="39" t="n">
        <v>5</v>
      </c>
      <c r="H3" s="39" t="n">
        <v>6</v>
      </c>
      <c r="I3" s="39" t="n">
        <v>7</v>
      </c>
      <c r="J3" s="39" t="n">
        <v>8</v>
      </c>
      <c r="K3" s="39" t="n">
        <v>9</v>
      </c>
      <c r="L3" s="39" t="n">
        <v>10</v>
      </c>
      <c r="M3" s="39" t="n">
        <v>11</v>
      </c>
      <c r="N3" s="39" t="n">
        <v>12</v>
      </c>
      <c r="O3" s="39" t="n">
        <v>13</v>
      </c>
      <c r="P3" s="39" t="n">
        <v>14</v>
      </c>
      <c r="Q3" s="39" t="n">
        <v>15</v>
      </c>
      <c r="R3" s="39" t="n">
        <v>16</v>
      </c>
      <c r="S3" s="39" t="n">
        <v>17</v>
      </c>
      <c r="T3" s="39" t="n">
        <v>18</v>
      </c>
      <c r="U3" s="39" t="n">
        <v>19</v>
      </c>
      <c r="V3" s="39" t="n">
        <v>20</v>
      </c>
      <c r="W3" s="39" t="n">
        <v>21</v>
      </c>
      <c r="X3" s="39" t="n">
        <v>22</v>
      </c>
      <c r="Y3" s="39" t="n">
        <v>23</v>
      </c>
      <c r="Z3" s="39" t="n">
        <v>24</v>
      </c>
      <c r="AA3" s="39" t="n">
        <v>25</v>
      </c>
      <c r="AB3" s="39" t="n">
        <v>26</v>
      </c>
      <c r="AC3" s="39" t="n">
        <v>27</v>
      </c>
      <c r="AD3" s="39" t="n">
        <v>28</v>
      </c>
      <c r="AE3" s="39" t="n">
        <v>29</v>
      </c>
      <c r="AF3" s="39" t="n">
        <v>30</v>
      </c>
      <c r="AG3" s="39" t="n">
        <v>31</v>
      </c>
      <c r="AH3" s="39" t="n">
        <v>32</v>
      </c>
      <c r="AI3" s="39" t="n">
        <v>33</v>
      </c>
      <c r="AJ3" s="39" t="n">
        <v>34</v>
      </c>
      <c r="AK3" s="39" t="n">
        <v>35</v>
      </c>
      <c r="AL3" s="39" t="n">
        <v>36</v>
      </c>
    </row>
    <row r="4" customFormat="false" ht="15" hidden="false" customHeight="false" outlineLevel="0" collapsed="false">
      <c r="A4" s="10" t="s">
        <v>169</v>
      </c>
      <c r="B4" s="27"/>
      <c r="C4" s="44" t="n">
        <f aca="false">EDATE(الافتراضات!$C$21,C3-1)</f>
        <v>46327</v>
      </c>
      <c r="D4" s="44" t="n">
        <f aca="false">EDATE(الافتراضات!$C$21,D3-1)</f>
        <v>46357</v>
      </c>
      <c r="E4" s="44" t="n">
        <f aca="false">EDATE(الافتراضات!$C$21,E3-1)</f>
        <v>46388</v>
      </c>
      <c r="F4" s="44" t="n">
        <f aca="false">EDATE(الافتراضات!$C$21,F3-1)</f>
        <v>46419</v>
      </c>
      <c r="G4" s="44" t="n">
        <f aca="false">EDATE(الافتراضات!$C$21,G3-1)</f>
        <v>46447</v>
      </c>
      <c r="H4" s="44" t="n">
        <f aca="false">EDATE(الافتراضات!$C$21,H3-1)</f>
        <v>46478</v>
      </c>
      <c r="I4" s="44" t="n">
        <f aca="false">EDATE(الافتراضات!$C$21,I3-1)</f>
        <v>46508</v>
      </c>
      <c r="J4" s="44" t="n">
        <f aca="false">EDATE(الافتراضات!$C$21,J3-1)</f>
        <v>46539</v>
      </c>
      <c r="K4" s="44" t="n">
        <f aca="false">EDATE(الافتراضات!$C$21,K3-1)</f>
        <v>46569</v>
      </c>
      <c r="L4" s="44" t="n">
        <f aca="false">EDATE(الافتراضات!$C$21,L3-1)</f>
        <v>46600</v>
      </c>
      <c r="M4" s="44" t="n">
        <f aca="false">EDATE(الافتراضات!$C$21,M3-1)</f>
        <v>46631</v>
      </c>
      <c r="N4" s="44" t="n">
        <f aca="false">EDATE(الافتراضات!$C$21,N3-1)</f>
        <v>46661</v>
      </c>
      <c r="O4" s="44" t="n">
        <f aca="false">EDATE(الافتراضات!$C$21,O3-1)</f>
        <v>46692</v>
      </c>
      <c r="P4" s="44" t="n">
        <f aca="false">EDATE(الافتراضات!$C$21,P3-1)</f>
        <v>46722</v>
      </c>
      <c r="Q4" s="44" t="n">
        <f aca="false">EDATE(الافتراضات!$C$21,Q3-1)</f>
        <v>46753</v>
      </c>
      <c r="R4" s="44" t="n">
        <f aca="false">EDATE(الافتراضات!$C$21,R3-1)</f>
        <v>46784</v>
      </c>
      <c r="S4" s="44" t="n">
        <f aca="false">EDATE(الافتراضات!$C$21,S3-1)</f>
        <v>46813</v>
      </c>
      <c r="T4" s="44" t="n">
        <f aca="false">EDATE(الافتراضات!$C$21,T3-1)</f>
        <v>46844</v>
      </c>
      <c r="U4" s="44" t="n">
        <f aca="false">EDATE(الافتراضات!$C$21,U3-1)</f>
        <v>46874</v>
      </c>
      <c r="V4" s="44" t="n">
        <f aca="false">EDATE(الافتراضات!$C$21,V3-1)</f>
        <v>46905</v>
      </c>
      <c r="W4" s="44" t="n">
        <f aca="false">EDATE(الافتراضات!$C$21,W3-1)</f>
        <v>46935</v>
      </c>
      <c r="X4" s="44" t="n">
        <f aca="false">EDATE(الافتراضات!$C$21,X3-1)</f>
        <v>46966</v>
      </c>
      <c r="Y4" s="44" t="n">
        <f aca="false">EDATE(الافتراضات!$C$21,Y3-1)</f>
        <v>46997</v>
      </c>
      <c r="Z4" s="44" t="n">
        <f aca="false">EDATE(الافتراضات!$C$21,Z3-1)</f>
        <v>47027</v>
      </c>
      <c r="AA4" s="44" t="n">
        <f aca="false">EDATE(الافتراضات!$C$21,AA3-1)</f>
        <v>47058</v>
      </c>
      <c r="AB4" s="44" t="n">
        <f aca="false">EDATE(الافتراضات!$C$21,AB3-1)</f>
        <v>47088</v>
      </c>
      <c r="AC4" s="44" t="n">
        <f aca="false">EDATE(الافتراضات!$C$21,AC3-1)</f>
        <v>47119</v>
      </c>
      <c r="AD4" s="44" t="n">
        <f aca="false">EDATE(الافتراضات!$C$21,AD3-1)</f>
        <v>47150</v>
      </c>
      <c r="AE4" s="44" t="n">
        <f aca="false">EDATE(الافتراضات!$C$21,AE3-1)</f>
        <v>47178</v>
      </c>
      <c r="AF4" s="44" t="n">
        <f aca="false">EDATE(الافتراضات!$C$21,AF3-1)</f>
        <v>47209</v>
      </c>
      <c r="AG4" s="44" t="n">
        <f aca="false">EDATE(الافتراضات!$C$21,AG3-1)</f>
        <v>47239</v>
      </c>
      <c r="AH4" s="44" t="n">
        <f aca="false">EDATE(الافتراضات!$C$21,AH3-1)</f>
        <v>47270</v>
      </c>
      <c r="AI4" s="44" t="n">
        <f aca="false">EDATE(الافتراضات!$C$21,AI3-1)</f>
        <v>47300</v>
      </c>
      <c r="AJ4" s="44" t="n">
        <f aca="false">EDATE(الافتراضات!$C$21,AJ3-1)</f>
        <v>47331</v>
      </c>
      <c r="AK4" s="44" t="n">
        <f aca="false">EDATE(الافتراضات!$C$21,AK3-1)</f>
        <v>47362</v>
      </c>
      <c r="AL4" s="44" t="n">
        <f aca="false">EDATE(الافتراضات!$C$21,AL3-1)</f>
        <v>47392</v>
      </c>
    </row>
    <row r="5" customFormat="false" ht="15" hidden="false" customHeight="false" outlineLevel="0" collapsed="false">
      <c r="A5" s="10" t="s">
        <v>170</v>
      </c>
      <c r="B5" s="27"/>
      <c r="C5" s="10" t="str">
        <f aca="false">"السنة "&amp;INT((C3-1)/12)+1</f>
        <v>السنة 1</v>
      </c>
      <c r="D5" s="10" t="str">
        <f aca="false">"السنة "&amp;INT((D3-1)/12)+1</f>
        <v>السنة 1</v>
      </c>
      <c r="E5" s="10" t="str">
        <f aca="false">"السنة "&amp;INT((E3-1)/12)+1</f>
        <v>السنة 1</v>
      </c>
      <c r="F5" s="10" t="str">
        <f aca="false">"السنة "&amp;INT((F3-1)/12)+1</f>
        <v>السنة 1</v>
      </c>
      <c r="G5" s="10" t="str">
        <f aca="false">"السنة "&amp;INT((G3-1)/12)+1</f>
        <v>السنة 1</v>
      </c>
      <c r="H5" s="10" t="str">
        <f aca="false">"السنة "&amp;INT((H3-1)/12)+1</f>
        <v>السنة 1</v>
      </c>
      <c r="I5" s="10" t="str">
        <f aca="false">"السنة "&amp;INT((I3-1)/12)+1</f>
        <v>السنة 1</v>
      </c>
      <c r="J5" s="10" t="str">
        <f aca="false">"السنة "&amp;INT((J3-1)/12)+1</f>
        <v>السنة 1</v>
      </c>
      <c r="K5" s="10" t="str">
        <f aca="false">"السنة "&amp;INT((K3-1)/12)+1</f>
        <v>السنة 1</v>
      </c>
      <c r="L5" s="10" t="str">
        <f aca="false">"السنة "&amp;INT((L3-1)/12)+1</f>
        <v>السنة 1</v>
      </c>
      <c r="M5" s="10" t="str">
        <f aca="false">"السنة "&amp;INT((M3-1)/12)+1</f>
        <v>السنة 1</v>
      </c>
      <c r="N5" s="10" t="str">
        <f aca="false">"السنة "&amp;INT((N3-1)/12)+1</f>
        <v>السنة 1</v>
      </c>
      <c r="O5" s="10" t="str">
        <f aca="false">"السنة "&amp;INT((O3-1)/12)+1</f>
        <v>السنة 2</v>
      </c>
      <c r="P5" s="10" t="str">
        <f aca="false">"السنة "&amp;INT((P3-1)/12)+1</f>
        <v>السنة 2</v>
      </c>
      <c r="Q5" s="10" t="str">
        <f aca="false">"السنة "&amp;INT((Q3-1)/12)+1</f>
        <v>السنة 2</v>
      </c>
      <c r="R5" s="10" t="str">
        <f aca="false">"السنة "&amp;INT((R3-1)/12)+1</f>
        <v>السنة 2</v>
      </c>
      <c r="S5" s="10" t="str">
        <f aca="false">"السنة "&amp;INT((S3-1)/12)+1</f>
        <v>السنة 2</v>
      </c>
      <c r="T5" s="10" t="str">
        <f aca="false">"السنة "&amp;INT((T3-1)/12)+1</f>
        <v>السنة 2</v>
      </c>
      <c r="U5" s="10" t="str">
        <f aca="false">"السنة "&amp;INT((U3-1)/12)+1</f>
        <v>السنة 2</v>
      </c>
      <c r="V5" s="10" t="str">
        <f aca="false">"السنة "&amp;INT((V3-1)/12)+1</f>
        <v>السنة 2</v>
      </c>
      <c r="W5" s="10" t="str">
        <f aca="false">"السنة "&amp;INT((W3-1)/12)+1</f>
        <v>السنة 2</v>
      </c>
      <c r="X5" s="10" t="str">
        <f aca="false">"السنة "&amp;INT((X3-1)/12)+1</f>
        <v>السنة 2</v>
      </c>
      <c r="Y5" s="10" t="str">
        <f aca="false">"السنة "&amp;INT((Y3-1)/12)+1</f>
        <v>السنة 2</v>
      </c>
      <c r="Z5" s="10" t="str">
        <f aca="false">"السنة "&amp;INT((Z3-1)/12)+1</f>
        <v>السنة 2</v>
      </c>
      <c r="AA5" s="10" t="str">
        <f aca="false">"السنة "&amp;INT((AA3-1)/12)+1</f>
        <v>السنة 3</v>
      </c>
      <c r="AB5" s="10" t="str">
        <f aca="false">"السنة "&amp;INT((AB3-1)/12)+1</f>
        <v>السنة 3</v>
      </c>
      <c r="AC5" s="10" t="str">
        <f aca="false">"السنة "&amp;INT((AC3-1)/12)+1</f>
        <v>السنة 3</v>
      </c>
      <c r="AD5" s="10" t="str">
        <f aca="false">"السنة "&amp;INT((AD3-1)/12)+1</f>
        <v>السنة 3</v>
      </c>
      <c r="AE5" s="10" t="str">
        <f aca="false">"السنة "&amp;INT((AE3-1)/12)+1</f>
        <v>السنة 3</v>
      </c>
      <c r="AF5" s="10" t="str">
        <f aca="false">"السنة "&amp;INT((AF3-1)/12)+1</f>
        <v>السنة 3</v>
      </c>
      <c r="AG5" s="10" t="str">
        <f aca="false">"السنة "&amp;INT((AG3-1)/12)+1</f>
        <v>السنة 3</v>
      </c>
      <c r="AH5" s="10" t="str">
        <f aca="false">"السنة "&amp;INT((AH3-1)/12)+1</f>
        <v>السنة 3</v>
      </c>
      <c r="AI5" s="10" t="str">
        <f aca="false">"السنة "&amp;INT((AI3-1)/12)+1</f>
        <v>السنة 3</v>
      </c>
      <c r="AJ5" s="10" t="str">
        <f aca="false">"السنة "&amp;INT((AJ3-1)/12)+1</f>
        <v>السنة 3</v>
      </c>
      <c r="AK5" s="10" t="str">
        <f aca="false">"السنة "&amp;INT((AK3-1)/12)+1</f>
        <v>السنة 3</v>
      </c>
      <c r="AL5" s="10" t="str">
        <f aca="false">"السنة "&amp;INT((AL3-1)/12)+1</f>
        <v>السنة 3</v>
      </c>
    </row>
    <row r="6" customFormat="false" ht="30" hidden="false" customHeight="true" outlineLevel="0" collapsed="false">
      <c r="A6" s="10" t="s">
        <v>99</v>
      </c>
      <c r="B6" s="27"/>
      <c r="C6" s="45" t="str">
        <f aca="false">INDEX(الافتراضات!$B$36:$B$40,MATCH(C$3,الافتراضات!$C$36:$C$40,1))</f>
        <v>0. التأسيس والتطوير</v>
      </c>
      <c r="D6" s="45" t="str">
        <f aca="false">INDEX(الافتراضات!$B$36:$B$40,MATCH(D$3,الافتراضات!$C$36:$C$40,1))</f>
        <v>0. التأسيس والتطوير</v>
      </c>
      <c r="E6" s="45" t="str">
        <f aca="false">INDEX(الافتراضات!$B$36:$B$40,MATCH(E$3,الافتراضات!$C$36:$C$40,1))</f>
        <v>0. التأسيس والتطوير</v>
      </c>
      <c r="F6" s="45" t="str">
        <f aca="false">INDEX(الافتراضات!$B$36:$B$40,MATCH(F$3,الافتراضات!$C$36:$C$40,1))</f>
        <v>0. التأسيس والتطوير</v>
      </c>
      <c r="G6" s="45" t="str">
        <f aca="false">INDEX(الافتراضات!$B$36:$B$40,MATCH(G$3,الافتراضات!$C$36:$C$40,1))</f>
        <v>0. التأسيس والتطوير</v>
      </c>
      <c r="H6" s="45" t="str">
        <f aca="false">INDEX(الافتراضات!$B$36:$B$40,MATCH(H$3,الافتراضات!$C$36:$C$40,1))</f>
        <v>0. التأسيس والتطوير</v>
      </c>
      <c r="I6" s="45" t="str">
        <f aca="false">INDEX(الافتراضات!$B$36:$B$40,MATCH(I$3,الافتراضات!$C$36:$C$40,1))</f>
        <v>0. التأسيس والتطوير</v>
      </c>
      <c r="J6" s="45" t="str">
        <f aca="false">INDEX(الافتراضات!$B$36:$B$40,MATCH(J$3,الافتراضات!$C$36:$C$40,1))</f>
        <v>1أ. اختبار الكثافة</v>
      </c>
      <c r="K6" s="45" t="str">
        <f aca="false">INDEX(الافتراضات!$B$36:$B$40,MATCH(K$3,الافتراضات!$C$36:$C$40,1))</f>
        <v>1أ. اختبار الكثافة</v>
      </c>
      <c r="L6" s="45" t="str">
        <f aca="false">INDEX(الافتراضات!$B$36:$B$40,MATCH(L$3,الافتراضات!$C$36:$C$40,1))</f>
        <v>1ب. إطلاق الرياض</v>
      </c>
      <c r="M6" s="45" t="str">
        <f aca="false">INDEX(الافتراضات!$B$36:$B$40,MATCH(M$3,الافتراضات!$C$36:$C$40,1))</f>
        <v>1ب. إطلاق الرياض</v>
      </c>
      <c r="N6" s="45" t="str">
        <f aca="false">INDEX(الافتراضات!$B$36:$B$40,MATCH(N$3,الافتراضات!$C$36:$C$40,1))</f>
        <v>1ب. إطلاق الرياض</v>
      </c>
      <c r="O6" s="45" t="str">
        <f aca="false">INDEX(الافتراضات!$B$36:$B$40,MATCH(O$3,الافتراضات!$C$36:$C$40,1))</f>
        <v>1ب. إطلاق الرياض</v>
      </c>
      <c r="P6" s="45" t="str">
        <f aca="false">INDEX(الافتراضات!$B$36:$B$40,MATCH(P$3,الافتراضات!$C$36:$C$40,1))</f>
        <v>1ب. إطلاق الرياض</v>
      </c>
      <c r="Q6" s="45" t="str">
        <f aca="false">INDEX(الافتراضات!$B$36:$B$40,MATCH(Q$3,الافتراضات!$C$36:$C$40,1))</f>
        <v>1ب. إطلاق الرياض</v>
      </c>
      <c r="R6" s="45" t="str">
        <f aca="false">INDEX(الافتراضات!$B$36:$B$40,MATCH(R$3,الافتراضات!$C$36:$C$40,1))</f>
        <v>2. التوسع السعودي</v>
      </c>
      <c r="S6" s="45" t="str">
        <f aca="false">INDEX(الافتراضات!$B$36:$B$40,MATCH(S$3,الافتراضات!$C$36:$C$40,1))</f>
        <v>2. التوسع السعودي</v>
      </c>
      <c r="T6" s="45" t="str">
        <f aca="false">INDEX(الافتراضات!$B$36:$B$40,MATCH(T$3,الافتراضات!$C$36:$C$40,1))</f>
        <v>2. التوسع السعودي</v>
      </c>
      <c r="U6" s="45" t="str">
        <f aca="false">INDEX(الافتراضات!$B$36:$B$40,MATCH(U$3,الافتراضات!$C$36:$C$40,1))</f>
        <v>2. التوسع السعودي</v>
      </c>
      <c r="V6" s="45" t="str">
        <f aca="false">INDEX(الافتراضات!$B$36:$B$40,MATCH(V$3,الافتراضات!$C$36:$C$40,1))</f>
        <v>2. التوسع السعودي</v>
      </c>
      <c r="W6" s="45" t="str">
        <f aca="false">INDEX(الافتراضات!$B$36:$B$40,MATCH(W$3,الافتراضات!$C$36:$C$40,1))</f>
        <v>2. التوسع السعودي</v>
      </c>
      <c r="X6" s="45" t="str">
        <f aca="false">INDEX(الافتراضات!$B$36:$B$40,MATCH(X$3,الافتراضات!$C$36:$C$40,1))</f>
        <v>2. التوسع السعودي</v>
      </c>
      <c r="Y6" s="45" t="str">
        <f aca="false">INDEX(الافتراضات!$B$36:$B$40,MATCH(Y$3,الافتراضات!$C$36:$C$40,1))</f>
        <v>2. التوسع السعودي</v>
      </c>
      <c r="Z6" s="45" t="str">
        <f aca="false">INDEX(الافتراضات!$B$36:$B$40,MATCH(Z$3,الافتراضات!$C$36:$C$40,1))</f>
        <v>2. التوسع السعودي</v>
      </c>
      <c r="AA6" s="45" t="str">
        <f aca="false">INDEX(الافتراضات!$B$36:$B$40,MATCH(AA$3,الافتراضات!$C$36:$C$40,1))</f>
        <v>3. الخليج</v>
      </c>
      <c r="AB6" s="45" t="str">
        <f aca="false">INDEX(الافتراضات!$B$36:$B$40,MATCH(AB$3,الافتراضات!$C$36:$C$40,1))</f>
        <v>3. الخليج</v>
      </c>
      <c r="AC6" s="45" t="str">
        <f aca="false">INDEX(الافتراضات!$B$36:$B$40,MATCH(AC$3,الافتراضات!$C$36:$C$40,1))</f>
        <v>3. الخليج</v>
      </c>
      <c r="AD6" s="45" t="str">
        <f aca="false">INDEX(الافتراضات!$B$36:$B$40,MATCH(AD$3,الافتراضات!$C$36:$C$40,1))</f>
        <v>3. الخليج</v>
      </c>
      <c r="AE6" s="45" t="str">
        <f aca="false">INDEX(الافتراضات!$B$36:$B$40,MATCH(AE$3,الافتراضات!$C$36:$C$40,1))</f>
        <v>3. الخليج</v>
      </c>
      <c r="AF6" s="45" t="str">
        <f aca="false">INDEX(الافتراضات!$B$36:$B$40,MATCH(AF$3,الافتراضات!$C$36:$C$40,1))</f>
        <v>3. الخليج</v>
      </c>
      <c r="AG6" s="45" t="str">
        <f aca="false">INDEX(الافتراضات!$B$36:$B$40,MATCH(AG$3,الافتراضات!$C$36:$C$40,1))</f>
        <v>3. الخليج</v>
      </c>
      <c r="AH6" s="45" t="str">
        <f aca="false">INDEX(الافتراضات!$B$36:$B$40,MATCH(AH$3,الافتراضات!$C$36:$C$40,1))</f>
        <v>3. الخليج</v>
      </c>
      <c r="AI6" s="45" t="str">
        <f aca="false">INDEX(الافتراضات!$B$36:$B$40,MATCH(AI$3,الافتراضات!$C$36:$C$40,1))</f>
        <v>3. الخليج</v>
      </c>
      <c r="AJ6" s="45" t="str">
        <f aca="false">INDEX(الافتراضات!$B$36:$B$40,MATCH(AJ$3,الافتراضات!$C$36:$C$40,1))</f>
        <v>3. الخليج</v>
      </c>
      <c r="AK6" s="45" t="str">
        <f aca="false">INDEX(الافتراضات!$B$36:$B$40,MATCH(AK$3,الافتراضات!$C$36:$C$40,1))</f>
        <v>3. الخليج</v>
      </c>
      <c r="AL6" s="45" t="str">
        <f aca="false">INDEX(الافتراضات!$B$36:$B$40,MATCH(AL$3,الافتراضات!$C$36:$C$40,1))</f>
        <v>3. الخليج</v>
      </c>
    </row>
    <row r="8" customFormat="false" ht="15" hidden="false" customHeight="false" outlineLevel="0" collapsed="false">
      <c r="A8" s="8" t="s">
        <v>11</v>
      </c>
      <c r="B8" s="8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</row>
    <row r="9" customFormat="false" ht="15" hidden="false" customHeight="false" outlineLevel="0" collapsed="false">
      <c r="A9" s="10" t="s">
        <v>171</v>
      </c>
      <c r="B9" s="27" t="s">
        <v>172</v>
      </c>
      <c r="C9" s="13" t="n">
        <f aca="false">INDEX(الافتراضات!$D$36:$D$40,MATCH(C$3,الافتراضات!$C$36:$C$40,1))</f>
        <v>300</v>
      </c>
      <c r="D9" s="13" t="n">
        <f aca="false">INDEX(الافتراضات!$D$36:$D$40,MATCH(D$3,الافتراضات!$C$36:$C$40,1))</f>
        <v>300</v>
      </c>
      <c r="E9" s="13" t="n">
        <f aca="false">INDEX(الافتراضات!$D$36:$D$40,MATCH(E$3,الافتراضات!$C$36:$C$40,1))</f>
        <v>300</v>
      </c>
      <c r="F9" s="13" t="n">
        <f aca="false">INDEX(الافتراضات!$D$36:$D$40,MATCH(F$3,الافتراضات!$C$36:$C$40,1))</f>
        <v>300</v>
      </c>
      <c r="G9" s="13" t="n">
        <f aca="false">INDEX(الافتراضات!$D$36:$D$40,MATCH(G$3,الافتراضات!$C$36:$C$40,1))</f>
        <v>300</v>
      </c>
      <c r="H9" s="13" t="n">
        <f aca="false">INDEX(الافتراضات!$D$36:$D$40,MATCH(H$3,الافتراضات!$C$36:$C$40,1))</f>
        <v>300</v>
      </c>
      <c r="I9" s="13" t="n">
        <f aca="false">INDEX(الافتراضات!$D$36:$D$40,MATCH(I$3,الافتراضات!$C$36:$C$40,1))</f>
        <v>300</v>
      </c>
      <c r="J9" s="13" t="n">
        <f aca="false">INDEX(الافتراضات!$D$36:$D$40,MATCH(J$3,الافتراضات!$C$36:$C$40,1))</f>
        <v>10000</v>
      </c>
      <c r="K9" s="13" t="n">
        <f aca="false">INDEX(الافتراضات!$D$36:$D$40,MATCH(K$3,الافتراضات!$C$36:$C$40,1))</f>
        <v>10000</v>
      </c>
      <c r="L9" s="13" t="n">
        <f aca="false">INDEX(الافتراضات!$D$36:$D$40,MATCH(L$3,الافتراضات!$C$36:$C$40,1))</f>
        <v>7500</v>
      </c>
      <c r="M9" s="13" t="n">
        <f aca="false">INDEX(الافتراضات!$D$36:$D$40,MATCH(M$3,الافتراضات!$C$36:$C$40,1))</f>
        <v>7500</v>
      </c>
      <c r="N9" s="13" t="n">
        <f aca="false">INDEX(الافتراضات!$D$36:$D$40,MATCH(N$3,الافتراضات!$C$36:$C$40,1))</f>
        <v>7500</v>
      </c>
      <c r="O9" s="13" t="n">
        <f aca="false">INDEX(الافتراضات!$D$36:$D$40,MATCH(O$3,الافتراضات!$C$36:$C$40,1))</f>
        <v>7500</v>
      </c>
      <c r="P9" s="13" t="n">
        <f aca="false">INDEX(الافتراضات!$D$36:$D$40,MATCH(P$3,الافتراضات!$C$36:$C$40,1))</f>
        <v>7500</v>
      </c>
      <c r="Q9" s="13" t="n">
        <f aca="false">INDEX(الافتراضات!$D$36:$D$40,MATCH(Q$3,الافتراضات!$C$36:$C$40,1))</f>
        <v>7500</v>
      </c>
      <c r="R9" s="13" t="n">
        <f aca="false">INDEX(الافتراضات!$D$36:$D$40,MATCH(R$3,الافتراضات!$C$36:$C$40,1))</f>
        <v>20000</v>
      </c>
      <c r="S9" s="13" t="n">
        <f aca="false">INDEX(الافتراضات!$D$36:$D$40,MATCH(S$3,الافتراضات!$C$36:$C$40,1))</f>
        <v>20000</v>
      </c>
      <c r="T9" s="13" t="n">
        <f aca="false">INDEX(الافتراضات!$D$36:$D$40,MATCH(T$3,الافتراضات!$C$36:$C$40,1))</f>
        <v>20000</v>
      </c>
      <c r="U9" s="13" t="n">
        <f aca="false">INDEX(الافتراضات!$D$36:$D$40,MATCH(U$3,الافتراضات!$C$36:$C$40,1))</f>
        <v>20000</v>
      </c>
      <c r="V9" s="13" t="n">
        <f aca="false">INDEX(الافتراضات!$D$36:$D$40,MATCH(V$3,الافتراضات!$C$36:$C$40,1))</f>
        <v>20000</v>
      </c>
      <c r="W9" s="13" t="n">
        <f aca="false">INDEX(الافتراضات!$D$36:$D$40,MATCH(W$3,الافتراضات!$C$36:$C$40,1))</f>
        <v>20000</v>
      </c>
      <c r="X9" s="13" t="n">
        <f aca="false">INDEX(الافتراضات!$D$36:$D$40,MATCH(X$3,الافتراضات!$C$36:$C$40,1))</f>
        <v>20000</v>
      </c>
      <c r="Y9" s="13" t="n">
        <f aca="false">INDEX(الافتراضات!$D$36:$D$40,MATCH(Y$3,الافتراضات!$C$36:$C$40,1))</f>
        <v>20000</v>
      </c>
      <c r="Z9" s="13" t="n">
        <f aca="false">INDEX(الافتراضات!$D$36:$D$40,MATCH(Z$3,الافتراضات!$C$36:$C$40,1))</f>
        <v>20000</v>
      </c>
      <c r="AA9" s="13" t="n">
        <f aca="false">INDEX(الافتراضات!$D$36:$D$40,MATCH(AA$3,الافتراضات!$C$36:$C$40,1))</f>
        <v>50000</v>
      </c>
      <c r="AB9" s="13" t="n">
        <f aca="false">INDEX(الافتراضات!$D$36:$D$40,MATCH(AB$3,الافتراضات!$C$36:$C$40,1))</f>
        <v>50000</v>
      </c>
      <c r="AC9" s="13" t="n">
        <f aca="false">INDEX(الافتراضات!$D$36:$D$40,MATCH(AC$3,الافتراضات!$C$36:$C$40,1))</f>
        <v>50000</v>
      </c>
      <c r="AD9" s="13" t="n">
        <f aca="false">INDEX(الافتراضات!$D$36:$D$40,MATCH(AD$3,الافتراضات!$C$36:$C$40,1))</f>
        <v>50000</v>
      </c>
      <c r="AE9" s="13" t="n">
        <f aca="false">INDEX(الافتراضات!$D$36:$D$40,MATCH(AE$3,الافتراضات!$C$36:$C$40,1))</f>
        <v>50000</v>
      </c>
      <c r="AF9" s="13" t="n">
        <f aca="false">INDEX(الافتراضات!$D$36:$D$40,MATCH(AF$3,الافتراضات!$C$36:$C$40,1))</f>
        <v>50000</v>
      </c>
      <c r="AG9" s="13" t="n">
        <f aca="false">INDEX(الافتراضات!$D$36:$D$40,MATCH(AG$3,الافتراضات!$C$36:$C$40,1))</f>
        <v>50000</v>
      </c>
      <c r="AH9" s="13" t="n">
        <f aca="false">INDEX(الافتراضات!$D$36:$D$40,MATCH(AH$3,الافتراضات!$C$36:$C$40,1))</f>
        <v>50000</v>
      </c>
      <c r="AI9" s="13" t="n">
        <f aca="false">INDEX(الافتراضات!$D$36:$D$40,MATCH(AI$3,الافتراضات!$C$36:$C$40,1))</f>
        <v>50000</v>
      </c>
      <c r="AJ9" s="13" t="n">
        <f aca="false">INDEX(الافتراضات!$D$36:$D$40,MATCH(AJ$3,الافتراضات!$C$36:$C$40,1))</f>
        <v>50000</v>
      </c>
      <c r="AK9" s="13" t="n">
        <f aca="false">INDEX(الافتراضات!$D$36:$D$40,MATCH(AK$3,الافتراضات!$C$36:$C$40,1))</f>
        <v>50000</v>
      </c>
      <c r="AL9" s="13" t="n">
        <f aca="false">INDEX(الافتراضات!$D$36:$D$40,MATCH(AL$3,الافتراضات!$C$36:$C$40,1))</f>
        <v>50000</v>
      </c>
    </row>
    <row r="10" customFormat="false" ht="15" hidden="false" customHeight="false" outlineLevel="0" collapsed="false">
      <c r="A10" s="10" t="s">
        <v>173</v>
      </c>
      <c r="B10" s="27" t="s">
        <v>174</v>
      </c>
      <c r="C10" s="12" t="n">
        <f aca="false">IF(C$3&gt;=الافتراضات!$C$22,C9/الافتراضات!$F$8,0)</f>
        <v>0</v>
      </c>
      <c r="D10" s="12" t="n">
        <f aca="false">IF(D$3&gt;=الافتراضات!$C$22,D9/الافتراضات!$F$8,0)</f>
        <v>0</v>
      </c>
      <c r="E10" s="12" t="n">
        <f aca="false">IF(E$3&gt;=الافتراضات!$C$22,E9/الافتراضات!$F$8,0)</f>
        <v>0</v>
      </c>
      <c r="F10" s="12" t="n">
        <f aca="false">IF(F$3&gt;=الافتراضات!$C$22,F9/الافتراضات!$F$8,0)</f>
        <v>0</v>
      </c>
      <c r="G10" s="12" t="n">
        <f aca="false">IF(G$3&gt;=الافتراضات!$C$22,G9/الافتراضات!$F$8,0)</f>
        <v>0</v>
      </c>
      <c r="H10" s="12" t="n">
        <f aca="false">IF(H$3&gt;=الافتراضات!$C$22,H9/الافتراضات!$F$8,0)</f>
        <v>0</v>
      </c>
      <c r="I10" s="12" t="n">
        <f aca="false">IF(I$3&gt;=الافتراضات!$C$22,I9/الافتراضات!$F$8,0)</f>
        <v>0</v>
      </c>
      <c r="J10" s="12" t="n">
        <f aca="false">IF(J$3&gt;=الافتراضات!$C$22,J9/الافتراضات!$F$8,0)</f>
        <v>6666.66666666667</v>
      </c>
      <c r="K10" s="12" t="n">
        <f aca="false">IF(K$3&gt;=الافتراضات!$C$22,K9/الافتراضات!$F$8,0)</f>
        <v>6666.66666666667</v>
      </c>
      <c r="L10" s="12" t="n">
        <f aca="false">IF(L$3&gt;=الافتراضات!$C$22,L9/الافتراضات!$F$8,0)</f>
        <v>5000</v>
      </c>
      <c r="M10" s="12" t="n">
        <f aca="false">IF(M$3&gt;=الافتراضات!$C$22,M9/الافتراضات!$F$8,0)</f>
        <v>5000</v>
      </c>
      <c r="N10" s="12" t="n">
        <f aca="false">IF(N$3&gt;=الافتراضات!$C$22,N9/الافتراضات!$F$8,0)</f>
        <v>5000</v>
      </c>
      <c r="O10" s="12" t="n">
        <f aca="false">IF(O$3&gt;=الافتراضات!$C$22,O9/الافتراضات!$F$8,0)</f>
        <v>5000</v>
      </c>
      <c r="P10" s="12" t="n">
        <f aca="false">IF(P$3&gt;=الافتراضات!$C$22,P9/الافتراضات!$F$8,0)</f>
        <v>5000</v>
      </c>
      <c r="Q10" s="12" t="n">
        <f aca="false">IF(Q$3&gt;=الافتراضات!$C$22,Q9/الافتراضات!$F$8,0)</f>
        <v>5000</v>
      </c>
      <c r="R10" s="12" t="n">
        <f aca="false">IF(R$3&gt;=الافتراضات!$C$22,R9/الافتراضات!$F$8,0)</f>
        <v>13333.3333333333</v>
      </c>
      <c r="S10" s="12" t="n">
        <f aca="false">IF(S$3&gt;=الافتراضات!$C$22,S9/الافتراضات!$F$8,0)</f>
        <v>13333.3333333333</v>
      </c>
      <c r="T10" s="12" t="n">
        <f aca="false">IF(T$3&gt;=الافتراضات!$C$22,T9/الافتراضات!$F$8,0)</f>
        <v>13333.3333333333</v>
      </c>
      <c r="U10" s="12" t="n">
        <f aca="false">IF(U$3&gt;=الافتراضات!$C$22,U9/الافتراضات!$F$8,0)</f>
        <v>13333.3333333333</v>
      </c>
      <c r="V10" s="12" t="n">
        <f aca="false">IF(V$3&gt;=الافتراضات!$C$22,V9/الافتراضات!$F$8,0)</f>
        <v>13333.3333333333</v>
      </c>
      <c r="W10" s="12" t="n">
        <f aca="false">IF(W$3&gt;=الافتراضات!$C$22,W9/الافتراضات!$F$8,0)</f>
        <v>13333.3333333333</v>
      </c>
      <c r="X10" s="12" t="n">
        <f aca="false">IF(X$3&gt;=الافتراضات!$C$22,X9/الافتراضات!$F$8,0)</f>
        <v>13333.3333333333</v>
      </c>
      <c r="Y10" s="12" t="n">
        <f aca="false">IF(Y$3&gt;=الافتراضات!$C$22,Y9/الافتراضات!$F$8,0)</f>
        <v>13333.3333333333</v>
      </c>
      <c r="Z10" s="12" t="n">
        <f aca="false">IF(Z$3&gt;=الافتراضات!$C$22,Z9/الافتراضات!$F$8,0)</f>
        <v>13333.3333333333</v>
      </c>
      <c r="AA10" s="12" t="n">
        <f aca="false">IF(AA$3&gt;=الافتراضات!$C$22,AA9/الافتراضات!$F$8,0)</f>
        <v>33333.3333333333</v>
      </c>
      <c r="AB10" s="12" t="n">
        <f aca="false">IF(AB$3&gt;=الافتراضات!$C$22,AB9/الافتراضات!$F$8,0)</f>
        <v>33333.3333333333</v>
      </c>
      <c r="AC10" s="12" t="n">
        <f aca="false">IF(AC$3&gt;=الافتراضات!$C$22,AC9/الافتراضات!$F$8,0)</f>
        <v>33333.3333333333</v>
      </c>
      <c r="AD10" s="12" t="n">
        <f aca="false">IF(AD$3&gt;=الافتراضات!$C$22,AD9/الافتراضات!$F$8,0)</f>
        <v>33333.3333333333</v>
      </c>
      <c r="AE10" s="12" t="n">
        <f aca="false">IF(AE$3&gt;=الافتراضات!$C$22,AE9/الافتراضات!$F$8,0)</f>
        <v>33333.3333333333</v>
      </c>
      <c r="AF10" s="12" t="n">
        <f aca="false">IF(AF$3&gt;=الافتراضات!$C$22,AF9/الافتراضات!$F$8,0)</f>
        <v>33333.3333333333</v>
      </c>
      <c r="AG10" s="12" t="n">
        <f aca="false">IF(AG$3&gt;=الافتراضات!$C$22,AG9/الافتراضات!$F$8,0)</f>
        <v>33333.3333333333</v>
      </c>
      <c r="AH10" s="12" t="n">
        <f aca="false">IF(AH$3&gt;=الافتراضات!$C$22,AH9/الافتراضات!$F$8,0)</f>
        <v>33333.3333333333</v>
      </c>
      <c r="AI10" s="12" t="n">
        <f aca="false">IF(AI$3&gt;=الافتراضات!$C$22,AI9/الافتراضات!$F$8,0)</f>
        <v>33333.3333333333</v>
      </c>
      <c r="AJ10" s="12" t="n">
        <f aca="false">IF(AJ$3&gt;=الافتراضات!$C$22,AJ9/الافتراضات!$F$8,0)</f>
        <v>33333.3333333333</v>
      </c>
      <c r="AK10" s="12" t="n">
        <f aca="false">IF(AK$3&gt;=الافتراضات!$C$22,AK9/الافتراضات!$F$8,0)</f>
        <v>33333.3333333333</v>
      </c>
      <c r="AL10" s="12" t="n">
        <f aca="false">IF(AL$3&gt;=الافتراضات!$C$22,AL9/الافتراضات!$F$8,0)</f>
        <v>33333.3333333333</v>
      </c>
    </row>
    <row r="11" customFormat="false" ht="15" hidden="false" customHeight="false" outlineLevel="0" collapsed="false">
      <c r="A11" s="10" t="s">
        <v>175</v>
      </c>
      <c r="B11" s="27" t="s">
        <v>174</v>
      </c>
      <c r="C11" s="12" t="n">
        <f aca="false">IF(C$3&gt;=الافتراضات!$C$22,الافتراضات!$F$9*0,0)</f>
        <v>0</v>
      </c>
      <c r="D11" s="12" t="n">
        <f aca="false">IF(D$3&gt;=الافتراضات!$C$22,الافتراضات!$F$9*C13,0)</f>
        <v>0</v>
      </c>
      <c r="E11" s="12" t="n">
        <f aca="false">IF(E$3&gt;=الافتراضات!$C$22,الافتراضات!$F$9*D13,0)</f>
        <v>0</v>
      </c>
      <c r="F11" s="12" t="n">
        <f aca="false">IF(F$3&gt;=الافتراضات!$C$22,الافتراضات!$F$9*E13,0)</f>
        <v>0</v>
      </c>
      <c r="G11" s="12" t="n">
        <f aca="false">IF(G$3&gt;=الافتراضات!$C$22,الافتراضات!$F$9*F13,0)</f>
        <v>0</v>
      </c>
      <c r="H11" s="12" t="n">
        <f aca="false">IF(H$3&gt;=الافتراضات!$C$22,الافتراضات!$F$9*G13,0)</f>
        <v>0</v>
      </c>
      <c r="I11" s="12" t="n">
        <f aca="false">IF(I$3&gt;=الافتراضات!$C$22,الافتراضات!$F$9*H13,0)</f>
        <v>0</v>
      </c>
      <c r="J11" s="12" t="n">
        <f aca="false">IF(J$3&gt;=الافتراضات!$C$22,الافتراضات!$F$9*I13,0)</f>
        <v>0</v>
      </c>
      <c r="K11" s="12" t="n">
        <f aca="false">IF(K$3&gt;=الافتراضات!$C$22,الافتراضات!$F$9*J13,0)</f>
        <v>186.666666666667</v>
      </c>
      <c r="L11" s="12" t="n">
        <f aca="false">IF(L$3&gt;=الافتراضات!$C$22,الافتراضات!$F$9*K13,0)</f>
        <v>363.626666666667</v>
      </c>
      <c r="M11" s="12" t="n">
        <f aca="false">IF(M$3&gt;=الافتراضات!$C$22,الافتراضات!$F$9*L13,0)</f>
        <v>484.71808</v>
      </c>
      <c r="N11" s="12" t="n">
        <f aca="false">IF(N$3&gt;=الافتراضات!$C$22,الافتراضات!$F$9*M13,0)</f>
        <v>599.51273984</v>
      </c>
      <c r="O11" s="12" t="n">
        <f aca="false">IF(O$3&gt;=الافتراضات!$C$22,الافتراضات!$F$9*N13,0)</f>
        <v>708.33807736832</v>
      </c>
      <c r="P11" s="12" t="n">
        <f aca="false">IF(P$3&gt;=الافتراضات!$C$22,الافتراضات!$F$9*O13,0)</f>
        <v>811.504497345168</v>
      </c>
      <c r="Q11" s="12" t="n">
        <f aca="false">IF(Q$3&gt;=الافتراضات!$C$22,الافتراضات!$F$9*P13,0)</f>
        <v>909.306263483219</v>
      </c>
      <c r="R11" s="12" t="n">
        <f aca="false">IF(R$3&gt;=الافتراضات!$C$22,الافتراضات!$F$9*Q13,0)</f>
        <v>1002.02233778209</v>
      </c>
      <c r="S11" s="12" t="n">
        <f aca="false">IF(S$3&gt;=الافتراضات!$C$22,الافتراضات!$F$9*R13,0)</f>
        <v>1323.25050955076</v>
      </c>
      <c r="T11" s="12" t="n">
        <f aca="false">IF(T$3&gt;=الافتراضات!$C$22,الافتراضات!$F$9*S13,0)</f>
        <v>1627.77481638745</v>
      </c>
      <c r="U11" s="12" t="n">
        <f aca="false">IF(U$3&gt;=الافتراضات!$C$22,الافتراضات!$F$9*T13,0)</f>
        <v>1916.46385926864</v>
      </c>
      <c r="V11" s="12" t="n">
        <f aca="false">IF(V$3&gt;=الافتراضات!$C$22,الافتراضات!$F$9*U13,0)</f>
        <v>2190.14107192</v>
      </c>
      <c r="W11" s="12" t="n">
        <f aca="false">IF(W$3&gt;=الافتراضات!$C$22,الافتراضات!$F$9*V13,0)</f>
        <v>2449.58706951349</v>
      </c>
      <c r="X11" s="12" t="n">
        <f aca="false">IF(X$3&gt;=الافتراضات!$C$22,الافتراضات!$F$9*W13,0)</f>
        <v>2695.54187523213</v>
      </c>
      <c r="Y11" s="12" t="n">
        <f aca="false">IF(Y$3&gt;=الافتراضات!$C$22,الافتراضات!$F$9*X13,0)</f>
        <v>2928.70703105339</v>
      </c>
      <c r="Z11" s="12" t="n">
        <f aca="false">IF(Z$3&gt;=الافتراضات!$C$22,الافتراضات!$F$9*Y13,0)</f>
        <v>3149.74759877195</v>
      </c>
      <c r="AA11" s="12" t="n">
        <f aca="false">IF(AA$3&gt;=الافتراضات!$C$22,الافتراضات!$F$9*Z13,0)</f>
        <v>3359.29405696914</v>
      </c>
      <c r="AB11" s="12" t="n">
        <f aca="false">IF(AB$3&gt;=الافتراضات!$C$22,الافتراضات!$F$9*AA13,0)</f>
        <v>4117.94409934008</v>
      </c>
      <c r="AC11" s="12" t="n">
        <f aca="false">IF(AC$3&gt;=الافتراضات!$C$22,الافتراضات!$F$9*AB13,0)</f>
        <v>4837.14433950773</v>
      </c>
      <c r="AD11" s="12" t="n">
        <f aca="false">IF(AD$3&gt;=الافتراضات!$C$22,الافتراضات!$F$9*AC13,0)</f>
        <v>5518.94616718666</v>
      </c>
      <c r="AE11" s="12" t="n">
        <f aca="false">IF(AE$3&gt;=الافتراضات!$C$22,الافتراضات!$F$9*AD13,0)</f>
        <v>6165.29429982629</v>
      </c>
      <c r="AF11" s="12" t="n">
        <f aca="false">IF(AF$3&gt;=الافتراضات!$C$22,الافتراضات!$F$9*AE13,0)</f>
        <v>6778.03232956865</v>
      </c>
      <c r="AG11" s="12" t="n">
        <f aca="false">IF(AG$3&gt;=الافتراضات!$C$22,الافتراضات!$F$9*AF13,0)</f>
        <v>7358.90798176442</v>
      </c>
      <c r="AH11" s="12" t="n">
        <f aca="false">IF(AH$3&gt;=الافتراضات!$C$22,الافتراضات!$F$9*AG13,0)</f>
        <v>7909.578100046</v>
      </c>
      <c r="AI11" s="12" t="n">
        <f aca="false">IF(AI$3&gt;=الافتراضات!$C$22,الافتراضات!$F$9*AH13,0)</f>
        <v>8431.61337217694</v>
      </c>
      <c r="AJ11" s="12" t="n">
        <f aca="false">IF(AJ$3&gt;=الافتراضات!$C$22,الافتراضات!$F$9*AI13,0)</f>
        <v>8926.50281015708</v>
      </c>
      <c r="AK11" s="12" t="n">
        <f aca="false">IF(AK$3&gt;=الافتراضات!$C$22,الافتراضات!$F$9*AJ13,0)</f>
        <v>9395.65799736224</v>
      </c>
      <c r="AL11" s="12" t="n">
        <f aca="false">IF(AL$3&gt;=الافتراضات!$C$22,الافتراضات!$F$9*AK13,0)</f>
        <v>9840.41711483274</v>
      </c>
    </row>
    <row r="12" customFormat="false" ht="15" hidden="false" customHeight="false" outlineLevel="0" collapsed="false">
      <c r="A12" s="10" t="s">
        <v>176</v>
      </c>
      <c r="B12" s="27" t="s">
        <v>174</v>
      </c>
      <c r="C12" s="12" t="n">
        <f aca="false">C10+C11</f>
        <v>0</v>
      </c>
      <c r="D12" s="12" t="n">
        <f aca="false">D10+D11</f>
        <v>0</v>
      </c>
      <c r="E12" s="12" t="n">
        <f aca="false">E10+E11</f>
        <v>0</v>
      </c>
      <c r="F12" s="12" t="n">
        <f aca="false">F10+F11</f>
        <v>0</v>
      </c>
      <c r="G12" s="12" t="n">
        <f aca="false">G10+G11</f>
        <v>0</v>
      </c>
      <c r="H12" s="12" t="n">
        <f aca="false">H10+H11</f>
        <v>0</v>
      </c>
      <c r="I12" s="12" t="n">
        <f aca="false">I10+I11</f>
        <v>0</v>
      </c>
      <c r="J12" s="12" t="n">
        <f aca="false">J10+J11</f>
        <v>6666.66666666667</v>
      </c>
      <c r="K12" s="12" t="n">
        <f aca="false">K10+K11</f>
        <v>6853.33333333333</v>
      </c>
      <c r="L12" s="12" t="n">
        <f aca="false">L10+L11</f>
        <v>5363.62666666667</v>
      </c>
      <c r="M12" s="12" t="n">
        <f aca="false">M10+M11</f>
        <v>5484.71808</v>
      </c>
      <c r="N12" s="12" t="n">
        <f aca="false">N10+N11</f>
        <v>5599.51273984</v>
      </c>
      <c r="O12" s="12" t="n">
        <f aca="false">O10+O11</f>
        <v>5708.33807736832</v>
      </c>
      <c r="P12" s="12" t="n">
        <f aca="false">P10+P11</f>
        <v>5811.50449734517</v>
      </c>
      <c r="Q12" s="12" t="n">
        <f aca="false">Q10+Q11</f>
        <v>5909.30626348322</v>
      </c>
      <c r="R12" s="12" t="n">
        <f aca="false">R10+R11</f>
        <v>14335.3556711154</v>
      </c>
      <c r="S12" s="12" t="n">
        <f aca="false">S10+S11</f>
        <v>14656.5838428841</v>
      </c>
      <c r="T12" s="12" t="n">
        <f aca="false">T10+T11</f>
        <v>14961.1081497208</v>
      </c>
      <c r="U12" s="12" t="n">
        <f aca="false">U10+U11</f>
        <v>15249.797192602</v>
      </c>
      <c r="V12" s="12" t="n">
        <f aca="false">V10+V11</f>
        <v>15523.4744052533</v>
      </c>
      <c r="W12" s="12" t="n">
        <f aca="false">W10+W11</f>
        <v>15782.9204028468</v>
      </c>
      <c r="X12" s="12" t="n">
        <f aca="false">X10+X11</f>
        <v>16028.8752085655</v>
      </c>
      <c r="Y12" s="12" t="n">
        <f aca="false">Y10+Y11</f>
        <v>16262.0403643867</v>
      </c>
      <c r="Z12" s="12" t="n">
        <f aca="false">Z10+Z11</f>
        <v>16483.0809321053</v>
      </c>
      <c r="AA12" s="12" t="n">
        <f aca="false">AA10+AA11</f>
        <v>36692.6273903025</v>
      </c>
      <c r="AB12" s="12" t="n">
        <f aca="false">AB10+AB11</f>
        <v>37451.2774326734</v>
      </c>
      <c r="AC12" s="12" t="n">
        <f aca="false">AC10+AC11</f>
        <v>38170.4776728411</v>
      </c>
      <c r="AD12" s="12" t="n">
        <f aca="false">AD10+AD11</f>
        <v>38852.27950052</v>
      </c>
      <c r="AE12" s="12" t="n">
        <f aca="false">AE10+AE11</f>
        <v>39498.6276331596</v>
      </c>
      <c r="AF12" s="12" t="n">
        <f aca="false">AF10+AF11</f>
        <v>40111.365662902</v>
      </c>
      <c r="AG12" s="12" t="n">
        <f aca="false">AG10+AG11</f>
        <v>40692.2413150978</v>
      </c>
      <c r="AH12" s="12" t="n">
        <f aca="false">AH10+AH11</f>
        <v>41242.9114333793</v>
      </c>
      <c r="AI12" s="12" t="n">
        <f aca="false">AI10+AI11</f>
        <v>41764.9467055103</v>
      </c>
      <c r="AJ12" s="12" t="n">
        <f aca="false">AJ10+AJ11</f>
        <v>42259.8361434904</v>
      </c>
      <c r="AK12" s="12" t="n">
        <f aca="false">AK10+AK11</f>
        <v>42728.9913306956</v>
      </c>
      <c r="AL12" s="12" t="n">
        <f aca="false">AL10+AL11</f>
        <v>43173.7504481661</v>
      </c>
    </row>
    <row r="13" customFormat="false" ht="15" hidden="false" customHeight="false" outlineLevel="0" collapsed="false">
      <c r="A13" s="40" t="s">
        <v>177</v>
      </c>
      <c r="B13" s="27" t="s">
        <v>174</v>
      </c>
      <c r="C13" s="33" t="n">
        <f aca="false">0*(1-الافتراضات!$F$11)+C12*الافتراضات!$F$10</f>
        <v>0</v>
      </c>
      <c r="D13" s="33" t="n">
        <f aca="false">C13*(1-الافتراضات!$F$11)+D12*الافتراضات!$F$10</f>
        <v>0</v>
      </c>
      <c r="E13" s="33" t="n">
        <f aca="false">D13*(1-الافتراضات!$F$11)+E12*الافتراضات!$F$10</f>
        <v>0</v>
      </c>
      <c r="F13" s="33" t="n">
        <f aca="false">E13*(1-الافتراضات!$F$11)+F12*الافتراضات!$F$10</f>
        <v>0</v>
      </c>
      <c r="G13" s="33" t="n">
        <f aca="false">F13*(1-الافتراضات!$F$11)+G12*الافتراضات!$F$10</f>
        <v>0</v>
      </c>
      <c r="H13" s="33" t="n">
        <f aca="false">G13*(1-الافتراضات!$F$11)+H12*الافتراضات!$F$10</f>
        <v>0</v>
      </c>
      <c r="I13" s="33" t="n">
        <f aca="false">H13*(1-الافتراضات!$F$11)+I12*الافتراضات!$F$10</f>
        <v>0</v>
      </c>
      <c r="J13" s="33" t="n">
        <f aca="false">I13*(1-الافتراضات!$F$11)+J12*الافتراضات!$F$10</f>
        <v>2333.33333333333</v>
      </c>
      <c r="K13" s="33" t="n">
        <f aca="false">J13*(1-الافتراضات!$F$11)+K12*الافتراضات!$F$10</f>
        <v>4545.33333333333</v>
      </c>
      <c r="L13" s="33" t="n">
        <f aca="false">K13*(1-الافتراضات!$F$11)+L12*الافتراضات!$F$10</f>
        <v>6058.976</v>
      </c>
      <c r="M13" s="33" t="n">
        <f aca="false">L13*(1-الافتراضات!$F$11)+M12*الافتراضات!$F$10</f>
        <v>7493.909248</v>
      </c>
      <c r="N13" s="33" t="n">
        <f aca="false">M13*(1-الافتراضات!$F$11)+N12*الافتراضات!$F$10</f>
        <v>8854.225967104</v>
      </c>
      <c r="O13" s="33" t="n">
        <f aca="false">N13*(1-الافتراضات!$F$11)+O12*الافتراضات!$F$10</f>
        <v>10143.8062168146</v>
      </c>
      <c r="P13" s="33" t="n">
        <f aca="false">O13*(1-الافتراضات!$F$11)+P12*الافتراضات!$F$10</f>
        <v>11366.3282935402</v>
      </c>
      <c r="Q13" s="33" t="n">
        <f aca="false">P13*(1-الافتراضات!$F$11)+Q12*الافتراضات!$F$10</f>
        <v>12525.2792222761</v>
      </c>
      <c r="R13" s="33" t="n">
        <f aca="false">Q13*(1-الافتراضات!$F$11)+R12*الافتراضات!$F$10</f>
        <v>16540.6313693845</v>
      </c>
      <c r="S13" s="33" t="n">
        <f aca="false">R13*(1-الافتراضات!$F$11)+S12*الافتراضات!$F$10</f>
        <v>20347.1852048431</v>
      </c>
      <c r="T13" s="33" t="n">
        <f aca="false">S13*(1-الافتراضات!$F$11)+T12*الافتراضات!$F$10</f>
        <v>23955.798240858</v>
      </c>
      <c r="U13" s="33" t="n">
        <f aca="false">T13*(1-الافتراضات!$F$11)+U12*الافتراضات!$F$10</f>
        <v>27376.763399</v>
      </c>
      <c r="V13" s="33" t="n">
        <f aca="false">U13*(1-الافتراضات!$F$11)+V12*الافتراضات!$F$10</f>
        <v>30619.8383689187</v>
      </c>
      <c r="W13" s="33" t="n">
        <f aca="false">V13*(1-الافتراضات!$F$11)+W12*الافتراضات!$F$10</f>
        <v>33694.2734404016</v>
      </c>
      <c r="X13" s="33" t="n">
        <f aca="false">W13*(1-الافتراضات!$F$11)+X12*الافتراضات!$F$10</f>
        <v>36608.8378881674</v>
      </c>
      <c r="Y13" s="33" t="n">
        <f aca="false">X13*(1-الافتراضات!$F$11)+Y12*الافتراضات!$F$10</f>
        <v>39371.8449846493</v>
      </c>
      <c r="Z13" s="33" t="n">
        <f aca="false">Y13*(1-الافتراضات!$F$11)+Z12*الافتراضات!$F$10</f>
        <v>41991.1757121142</v>
      </c>
      <c r="AA13" s="33" t="n">
        <f aca="false">Z13*(1-الافتراضات!$F$11)+AA12*الافتراضات!$F$10</f>
        <v>51474.3012417509</v>
      </c>
      <c r="AB13" s="33" t="n">
        <f aca="false">AA13*(1-الافتراضات!$F$11)+AB12*الافتراضات!$F$10</f>
        <v>60464.3042438466</v>
      </c>
      <c r="AC13" s="33" t="n">
        <f aca="false">AB13*(1-الافتراضات!$F$11)+AC12*الافتراضات!$F$10</f>
        <v>68986.8270898332</v>
      </c>
      <c r="AD13" s="33" t="n">
        <f aca="false">AC13*(1-الافتراضات!$F$11)+AD12*الافتراضات!$F$10</f>
        <v>77066.1787478286</v>
      </c>
      <c r="AE13" s="33" t="n">
        <f aca="false">AD13*(1-الافتراضات!$F$11)+AE12*الافتراضات!$F$10</f>
        <v>84725.4041196082</v>
      </c>
      <c r="AF13" s="33" t="n">
        <f aca="false">AE13*(1-الافتراضات!$F$11)+AF12*الافتراضات!$F$10</f>
        <v>91986.3497720552</v>
      </c>
      <c r="AG13" s="33" t="n">
        <f aca="false">AF13*(1-الافتراضات!$F$11)+AG12*الافتراضات!$F$10</f>
        <v>98869.726250575</v>
      </c>
      <c r="AH13" s="33" t="n">
        <f aca="false">AG13*(1-الافتراضات!$F$11)+AH12*الافتراضات!$F$10</f>
        <v>105395.167152212</v>
      </c>
      <c r="AI13" s="33" t="n">
        <f aca="false">AH13*(1-الافتراضات!$F$11)+AI12*الافتراضات!$F$10</f>
        <v>111581.285126963</v>
      </c>
      <c r="AJ13" s="33" t="n">
        <f aca="false">AI13*(1-الافتراضات!$F$11)+AJ12*الافتراضات!$F$10</f>
        <v>117445.724967028</v>
      </c>
      <c r="AK13" s="33" t="n">
        <f aca="false">AJ13*(1-الافتراضات!$F$11)+AK12*الافتراضات!$F$10</f>
        <v>123005.213935409</v>
      </c>
      <c r="AL13" s="33" t="n">
        <f aca="false">AK13*(1-الافتراضات!$F$11)+AL12*الافتراضات!$F$10</f>
        <v>128275.609477435</v>
      </c>
    </row>
    <row r="14" customFormat="false" ht="15" hidden="false" customHeight="false" outlineLevel="0" collapsed="false">
      <c r="A14" s="10" t="s">
        <v>178</v>
      </c>
      <c r="B14" s="27" t="s">
        <v>174</v>
      </c>
      <c r="C14" s="12" t="n">
        <f aca="false">C13*الافتراضات!$F$12</f>
        <v>0</v>
      </c>
      <c r="D14" s="12" t="n">
        <f aca="false">D13*الافتراضات!$F$12</f>
        <v>0</v>
      </c>
      <c r="E14" s="12" t="n">
        <f aca="false">E13*الافتراضات!$F$12</f>
        <v>0</v>
      </c>
      <c r="F14" s="12" t="n">
        <f aca="false">F13*الافتراضات!$F$12</f>
        <v>0</v>
      </c>
      <c r="G14" s="12" t="n">
        <f aca="false">G13*الافتراضات!$F$12</f>
        <v>0</v>
      </c>
      <c r="H14" s="12" t="n">
        <f aca="false">H13*الافتراضات!$F$12</f>
        <v>0</v>
      </c>
      <c r="I14" s="12" t="n">
        <f aca="false">I13*الافتراضات!$F$12</f>
        <v>0</v>
      </c>
      <c r="J14" s="12" t="n">
        <f aca="false">J13*الافتراضات!$F$12</f>
        <v>58.3333333333333</v>
      </c>
      <c r="K14" s="12" t="n">
        <f aca="false">K13*الافتراضات!$F$12</f>
        <v>113.633333333333</v>
      </c>
      <c r="L14" s="12" t="n">
        <f aca="false">L13*الافتراضات!$F$12</f>
        <v>151.4744</v>
      </c>
      <c r="M14" s="12" t="n">
        <f aca="false">M13*الافتراضات!$F$12</f>
        <v>187.3477312</v>
      </c>
      <c r="N14" s="12" t="n">
        <f aca="false">N13*الافتراضات!$F$12</f>
        <v>221.3556491776</v>
      </c>
      <c r="O14" s="12" t="n">
        <f aca="false">O13*الافتراضات!$F$12</f>
        <v>253.595155420365</v>
      </c>
      <c r="P14" s="12" t="n">
        <f aca="false">P13*الافتراضات!$F$12</f>
        <v>284.158207338506</v>
      </c>
      <c r="Q14" s="12" t="n">
        <f aca="false">Q13*الافتراضات!$F$12</f>
        <v>313.131980556904</v>
      </c>
      <c r="R14" s="12" t="n">
        <f aca="false">R13*الافتراضات!$F$12</f>
        <v>413.515784234611</v>
      </c>
      <c r="S14" s="12" t="n">
        <f aca="false">S13*الافتراضات!$F$12</f>
        <v>508.679630121078</v>
      </c>
      <c r="T14" s="12" t="n">
        <f aca="false">T13*الافتراضات!$F$12</f>
        <v>598.894956021449</v>
      </c>
      <c r="U14" s="12" t="n">
        <f aca="false">U13*الافتراضات!$F$12</f>
        <v>684.419084975</v>
      </c>
      <c r="V14" s="12" t="n">
        <f aca="false">V13*الافتراضات!$F$12</f>
        <v>765.495959222967</v>
      </c>
      <c r="W14" s="12" t="n">
        <f aca="false">W13*الافتراضات!$F$12</f>
        <v>842.356836010039</v>
      </c>
      <c r="X14" s="12" t="n">
        <f aca="false">X13*الافتراضات!$F$12</f>
        <v>915.220947204184</v>
      </c>
      <c r="Y14" s="12" t="n">
        <f aca="false">Y13*الافتراضات!$F$12</f>
        <v>984.296124616233</v>
      </c>
      <c r="Z14" s="12" t="n">
        <f aca="false">Z13*الافتراضات!$F$12</f>
        <v>1049.77939280286</v>
      </c>
      <c r="AA14" s="12" t="n">
        <f aca="false">AA13*الافتراضات!$F$12</f>
        <v>1286.85753104377</v>
      </c>
      <c r="AB14" s="12" t="n">
        <f aca="false">AB13*الافتراضات!$F$12</f>
        <v>1511.60760609616</v>
      </c>
      <c r="AC14" s="12" t="n">
        <f aca="false">AC13*الافتراضات!$F$12</f>
        <v>1724.67067724583</v>
      </c>
      <c r="AD14" s="12" t="n">
        <f aca="false">AD13*الافتراضات!$F$12</f>
        <v>1926.65446869571</v>
      </c>
      <c r="AE14" s="12" t="n">
        <f aca="false">AE13*الافتراضات!$F$12</f>
        <v>2118.1351029902</v>
      </c>
      <c r="AF14" s="12" t="n">
        <f aca="false">AF13*الافتراضات!$F$12</f>
        <v>2299.65874430138</v>
      </c>
      <c r="AG14" s="12" t="n">
        <f aca="false">AG13*الافتراضات!$F$12</f>
        <v>2471.74315626438</v>
      </c>
      <c r="AH14" s="12" t="n">
        <f aca="false">AH13*الافتراضات!$F$12</f>
        <v>2634.87917880529</v>
      </c>
      <c r="AI14" s="12" t="n">
        <f aca="false">AI13*الافتراضات!$F$12</f>
        <v>2789.53212817409</v>
      </c>
      <c r="AJ14" s="12" t="n">
        <f aca="false">AJ13*الافتراضات!$F$12</f>
        <v>2936.1431241757</v>
      </c>
      <c r="AK14" s="12" t="n">
        <f aca="false">AK13*الافتراضات!$F$12</f>
        <v>3075.13034838523</v>
      </c>
      <c r="AL14" s="12" t="n">
        <f aca="false">AL13*الافتراضات!$F$12</f>
        <v>3206.89023693587</v>
      </c>
    </row>
    <row r="16" customFormat="false" ht="15" hidden="false" customHeight="false" outlineLevel="0" collapsed="false">
      <c r="A16" s="8" t="s">
        <v>179</v>
      </c>
      <c r="B16" s="8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</row>
    <row r="17" customFormat="false" ht="15" hidden="false" customHeight="false" outlineLevel="0" collapsed="false">
      <c r="A17" s="10" t="s">
        <v>180</v>
      </c>
      <c r="B17" s="27" t="s">
        <v>172</v>
      </c>
      <c r="C17" s="14" t="n">
        <f aca="false">C14*الافتراضات!$F$13</f>
        <v>0</v>
      </c>
      <c r="D17" s="14" t="n">
        <f aca="false">D14*الافتراضات!$F$13</f>
        <v>0</v>
      </c>
      <c r="E17" s="14" t="n">
        <f aca="false">E14*الافتراضات!$F$13</f>
        <v>0</v>
      </c>
      <c r="F17" s="14" t="n">
        <f aca="false">F14*الافتراضات!$F$13</f>
        <v>0</v>
      </c>
      <c r="G17" s="14" t="n">
        <f aca="false">G14*الافتراضات!$F$13</f>
        <v>0</v>
      </c>
      <c r="H17" s="14" t="n">
        <f aca="false">H14*الافتراضات!$F$13</f>
        <v>0</v>
      </c>
      <c r="I17" s="14" t="n">
        <f aca="false">I14*الافتراضات!$F$13</f>
        <v>0</v>
      </c>
      <c r="J17" s="14" t="n">
        <f aca="false">J14*الافتراضات!$F$13</f>
        <v>466.666666666667</v>
      </c>
      <c r="K17" s="14" t="n">
        <f aca="false">K14*الافتراضات!$F$13</f>
        <v>909.066666666667</v>
      </c>
      <c r="L17" s="14" t="n">
        <f aca="false">L14*الافتراضات!$F$13</f>
        <v>1211.7952</v>
      </c>
      <c r="M17" s="14" t="n">
        <f aca="false">M14*الافتراضات!$F$13</f>
        <v>1498.7818496</v>
      </c>
      <c r="N17" s="14" t="n">
        <f aca="false">N14*الافتراضات!$F$13</f>
        <v>1770.8451934208</v>
      </c>
      <c r="O17" s="14" t="n">
        <f aca="false">O14*الافتراضات!$F$13</f>
        <v>2028.76124336292</v>
      </c>
      <c r="P17" s="14" t="n">
        <f aca="false">P14*الافتراضات!$F$13</f>
        <v>2273.26565870805</v>
      </c>
      <c r="Q17" s="14" t="n">
        <f aca="false">Q14*الافتراضات!$F$13</f>
        <v>2505.05584445523</v>
      </c>
      <c r="R17" s="14" t="n">
        <f aca="false">R14*الافتراضات!$F$13</f>
        <v>3308.12627387689</v>
      </c>
      <c r="S17" s="14" t="n">
        <f aca="false">S14*الافتراضات!$F$13</f>
        <v>4069.43704096863</v>
      </c>
      <c r="T17" s="14" t="n">
        <f aca="false">T14*الافتراضات!$F$13</f>
        <v>4791.15964817159</v>
      </c>
      <c r="U17" s="14" t="n">
        <f aca="false">U14*الافتراضات!$F$13</f>
        <v>5475.3526798</v>
      </c>
      <c r="V17" s="14" t="n">
        <f aca="false">V14*الافتراضات!$F$13</f>
        <v>6123.96767378373</v>
      </c>
      <c r="W17" s="14" t="n">
        <f aca="false">W14*الافتراضات!$F$13</f>
        <v>6738.85468808031</v>
      </c>
      <c r="X17" s="14" t="n">
        <f aca="false">X14*الافتراضات!$F$13</f>
        <v>7321.76757763347</v>
      </c>
      <c r="Y17" s="14" t="n">
        <f aca="false">Y14*الافتراضات!$F$13</f>
        <v>7874.36899692986</v>
      </c>
      <c r="Z17" s="14" t="n">
        <f aca="false">Z14*الافتراضات!$F$13</f>
        <v>8398.23514242284</v>
      </c>
      <c r="AA17" s="14" t="n">
        <f aca="false">AA14*الافتراضات!$F$13</f>
        <v>10294.8602483502</v>
      </c>
      <c r="AB17" s="14" t="n">
        <f aca="false">AB14*الافتراضات!$F$13</f>
        <v>12092.8608487693</v>
      </c>
      <c r="AC17" s="14" t="n">
        <f aca="false">AC14*الافتراضات!$F$13</f>
        <v>13797.3654179666</v>
      </c>
      <c r="AD17" s="14" t="n">
        <f aca="false">AD14*الافتراضات!$F$13</f>
        <v>15413.2357495657</v>
      </c>
      <c r="AE17" s="14" t="n">
        <f aca="false">AE14*الافتراضات!$F$13</f>
        <v>16945.0808239216</v>
      </c>
      <c r="AF17" s="14" t="n">
        <f aca="false">AF14*الافتراضات!$F$13</f>
        <v>18397.269954411</v>
      </c>
      <c r="AG17" s="14" t="n">
        <f aca="false">AG14*الافتراضات!$F$13</f>
        <v>19773.945250115</v>
      </c>
      <c r="AH17" s="14" t="n">
        <f aca="false">AH14*الافتراضات!$F$13</f>
        <v>21079.0334304424</v>
      </c>
      <c r="AI17" s="14" t="n">
        <f aca="false">AI14*الافتراضات!$F$13</f>
        <v>22316.2570253927</v>
      </c>
      <c r="AJ17" s="14" t="n">
        <f aca="false">AJ14*الافتراضات!$F$13</f>
        <v>23489.1449934056</v>
      </c>
      <c r="AK17" s="14" t="n">
        <f aca="false">AK14*الافتراضات!$F$13</f>
        <v>24601.0427870818</v>
      </c>
      <c r="AL17" s="14" t="n">
        <f aca="false">AL14*الافتراضات!$F$13</f>
        <v>25655.1218954869</v>
      </c>
    </row>
    <row r="18" customFormat="false" ht="15" hidden="false" customHeight="false" outlineLevel="0" collapsed="false">
      <c r="A18" s="10" t="s">
        <v>181</v>
      </c>
      <c r="B18" s="27" t="s">
        <v>182</v>
      </c>
      <c r="C18" s="12" t="n">
        <f aca="false">IF(C$3&gt;=الافتراضات!$C$23,C13/الافتراضات!$F$14,0)</f>
        <v>0</v>
      </c>
      <c r="D18" s="12" t="n">
        <f aca="false">IF(D$3&gt;=الافتراضات!$C$23,D13/الافتراضات!$F$14,0)</f>
        <v>0</v>
      </c>
      <c r="E18" s="12" t="n">
        <f aca="false">IF(E$3&gt;=الافتراضات!$C$23,E13/الافتراضات!$F$14,0)</f>
        <v>0</v>
      </c>
      <c r="F18" s="12" t="n">
        <f aca="false">IF(F$3&gt;=الافتراضات!$C$23,F13/الافتراضات!$F$14,0)</f>
        <v>0</v>
      </c>
      <c r="G18" s="12" t="n">
        <f aca="false">IF(G$3&gt;=الافتراضات!$C$23,G13/الافتراضات!$F$14,0)</f>
        <v>0</v>
      </c>
      <c r="H18" s="12" t="n">
        <f aca="false">IF(H$3&gt;=الافتراضات!$C$23,H13/الافتراضات!$F$14,0)</f>
        <v>0</v>
      </c>
      <c r="I18" s="12" t="n">
        <f aca="false">IF(I$3&gt;=الافتراضات!$C$23,I13/الافتراضات!$F$14,0)</f>
        <v>0</v>
      </c>
      <c r="J18" s="12" t="n">
        <f aca="false">IF(J$3&gt;=الافتراضات!$C$23,J13/الافتراضات!$F$14,0)</f>
        <v>0</v>
      </c>
      <c r="K18" s="12" t="n">
        <f aca="false">IF(K$3&gt;=الافتراضات!$C$23,K13/الافتراضات!$F$14,0)</f>
        <v>0</v>
      </c>
      <c r="L18" s="12" t="n">
        <f aca="false">IF(L$3&gt;=الافتراضات!$C$23,L13/الافتراضات!$F$14,0)</f>
        <v>2.4235904</v>
      </c>
      <c r="M18" s="12" t="n">
        <f aca="false">IF(M$3&gt;=الافتراضات!$C$23,M13/الافتراضات!$F$14,0)</f>
        <v>2.9975636992</v>
      </c>
      <c r="N18" s="12" t="n">
        <f aca="false">IF(N$3&gt;=الافتراضات!$C$23,N13/الافتراضات!$F$14,0)</f>
        <v>3.5416903868416</v>
      </c>
      <c r="O18" s="12" t="n">
        <f aca="false">IF(O$3&gt;=الافتراضات!$C$23,O13/الافتراضات!$F$14,0)</f>
        <v>4.05752248672584</v>
      </c>
      <c r="P18" s="12" t="n">
        <f aca="false">IF(P$3&gt;=الافتراضات!$C$23,P13/الافتراضات!$F$14,0)</f>
        <v>4.54653131741609</v>
      </c>
      <c r="Q18" s="12" t="n">
        <f aca="false">IF(Q$3&gt;=الافتراضات!$C$23,Q13/الافتراضات!$F$14,0)</f>
        <v>5.01011168891046</v>
      </c>
      <c r="R18" s="12" t="n">
        <f aca="false">IF(R$3&gt;=الافتراضات!$C$23,R13/الافتراضات!$F$14,0)</f>
        <v>6.61625254775378</v>
      </c>
      <c r="S18" s="12" t="n">
        <f aca="false">IF(S$3&gt;=الافتراضات!$C$23,S13/الافتراضات!$F$14,0)</f>
        <v>8.13887408193725</v>
      </c>
      <c r="T18" s="12" t="n">
        <f aca="false">IF(T$3&gt;=الافتراضات!$C$23,T13/الافتراضات!$F$14,0)</f>
        <v>9.58231929634318</v>
      </c>
      <c r="U18" s="12" t="n">
        <f aca="false">IF(U$3&gt;=الافتراضات!$C$23,U13/الافتراضات!$F$14,0)</f>
        <v>10.9507053596</v>
      </c>
      <c r="V18" s="12" t="n">
        <f aca="false">IF(V$3&gt;=الافتراضات!$C$23,V13/الافتراضات!$F$14,0)</f>
        <v>12.2479353475675</v>
      </c>
      <c r="W18" s="12" t="n">
        <f aca="false">IF(W$3&gt;=الافتراضات!$C$23,W13/الافتراضات!$F$14,0)</f>
        <v>13.4777093761606</v>
      </c>
      <c r="X18" s="12" t="n">
        <f aca="false">IF(X$3&gt;=الافتراضات!$C$23,X13/الافتراضات!$F$14,0)</f>
        <v>14.6435351552669</v>
      </c>
      <c r="Y18" s="12" t="n">
        <f aca="false">IF(Y$3&gt;=الافتراضات!$C$23,Y13/الافتراضات!$F$14,0)</f>
        <v>15.7487379938597</v>
      </c>
      <c r="Z18" s="12" t="n">
        <f aca="false">IF(Z$3&gt;=الافتراضات!$C$23,Z13/الافتراضات!$F$14,0)</f>
        <v>16.7964702848457</v>
      </c>
      <c r="AA18" s="12" t="n">
        <f aca="false">IF(AA$3&gt;=الافتراضات!$C$23,AA13/الافتراضات!$F$14,0)</f>
        <v>20.5897204967004</v>
      </c>
      <c r="AB18" s="12" t="n">
        <f aca="false">IF(AB$3&gt;=الافتراضات!$C$23,AB13/الافتراضات!$F$14,0)</f>
        <v>24.1857216975386</v>
      </c>
      <c r="AC18" s="12" t="n">
        <f aca="false">IF(AC$3&gt;=الافتراضات!$C$23,AC13/الافتراضات!$F$14,0)</f>
        <v>27.5947308359333</v>
      </c>
      <c r="AD18" s="12" t="n">
        <f aca="false">IF(AD$3&gt;=الافتراضات!$C$23,AD13/الافتراضات!$F$14,0)</f>
        <v>30.8264714991314</v>
      </c>
      <c r="AE18" s="12" t="n">
        <f aca="false">IF(AE$3&gt;=الافتراضات!$C$23,AE13/الافتراضات!$F$14,0)</f>
        <v>33.8901616478433</v>
      </c>
      <c r="AF18" s="12" t="n">
        <f aca="false">IF(AF$3&gt;=الافتراضات!$C$23,AF13/الافتراضات!$F$14,0)</f>
        <v>36.7945399088221</v>
      </c>
      <c r="AG18" s="12" t="n">
        <f aca="false">IF(AG$3&gt;=الافتراضات!$C$23,AG13/الافتراضات!$F$14,0)</f>
        <v>39.54789050023</v>
      </c>
      <c r="AH18" s="12" t="n">
        <f aca="false">IF(AH$3&gt;=الافتراضات!$C$23,AH13/الافتراضات!$F$14,0)</f>
        <v>42.1580668608847</v>
      </c>
      <c r="AI18" s="12" t="n">
        <f aca="false">IF(AI$3&gt;=الافتراضات!$C$23,AI13/الافتراضات!$F$14,0)</f>
        <v>44.6325140507854</v>
      </c>
      <c r="AJ18" s="12" t="n">
        <f aca="false">IF(AJ$3&gt;=الافتراضات!$C$23,AJ13/الافتراضات!$F$14,0)</f>
        <v>46.9782899868112</v>
      </c>
      <c r="AK18" s="12" t="n">
        <f aca="false">IF(AK$3&gt;=الافتراضات!$C$23,AK13/الافتراضات!$F$14,0)</f>
        <v>49.2020855741637</v>
      </c>
      <c r="AL18" s="12" t="n">
        <f aca="false">IF(AL$3&gt;=الافتراضات!$C$23,AL13/الافتراضات!$F$14,0)</f>
        <v>51.3102437909738</v>
      </c>
    </row>
    <row r="19" customFormat="false" ht="15" hidden="false" customHeight="false" outlineLevel="0" collapsed="false">
      <c r="A19" s="10" t="s">
        <v>183</v>
      </c>
      <c r="B19" s="27" t="s">
        <v>172</v>
      </c>
      <c r="C19" s="14" t="n">
        <f aca="false">C18*الافتراضات!$F$15</f>
        <v>0</v>
      </c>
      <c r="D19" s="14" t="n">
        <f aca="false">D18*الافتراضات!$F$15</f>
        <v>0</v>
      </c>
      <c r="E19" s="14" t="n">
        <f aca="false">E18*الافتراضات!$F$15</f>
        <v>0</v>
      </c>
      <c r="F19" s="14" t="n">
        <f aca="false">F18*الافتراضات!$F$15</f>
        <v>0</v>
      </c>
      <c r="G19" s="14" t="n">
        <f aca="false">G18*الافتراضات!$F$15</f>
        <v>0</v>
      </c>
      <c r="H19" s="14" t="n">
        <f aca="false">H18*الافتراضات!$F$15</f>
        <v>0</v>
      </c>
      <c r="I19" s="14" t="n">
        <f aca="false">I18*الافتراضات!$F$15</f>
        <v>0</v>
      </c>
      <c r="J19" s="14" t="n">
        <f aca="false">J18*الافتراضات!$F$15</f>
        <v>0</v>
      </c>
      <c r="K19" s="14" t="n">
        <f aca="false">K18*الافتراضات!$F$15</f>
        <v>0</v>
      </c>
      <c r="L19" s="14" t="n">
        <f aca="false">L18*الافتراضات!$F$15</f>
        <v>363.53856</v>
      </c>
      <c r="M19" s="14" t="n">
        <f aca="false">M18*الافتراضات!$F$15</f>
        <v>449.63455488</v>
      </c>
      <c r="N19" s="14" t="n">
        <f aca="false">N18*الافتراضات!$F$15</f>
        <v>531.25355802624</v>
      </c>
      <c r="O19" s="14" t="n">
        <f aca="false">O18*الافتراضات!$F$15</f>
        <v>608.628373008876</v>
      </c>
      <c r="P19" s="14" t="n">
        <f aca="false">P18*الافتراضات!$F$15</f>
        <v>681.979697612414</v>
      </c>
      <c r="Q19" s="14" t="n">
        <f aca="false">Q18*الافتراضات!$F$15</f>
        <v>751.516753336569</v>
      </c>
      <c r="R19" s="14" t="n">
        <f aca="false">R18*الافتراضات!$F$15</f>
        <v>992.437882163067</v>
      </c>
      <c r="S19" s="14" t="n">
        <f aca="false">S18*الافتراضات!$F$15</f>
        <v>1220.83111229059</v>
      </c>
      <c r="T19" s="14" t="n">
        <f aca="false">T18*الافتراضات!$F$15</f>
        <v>1437.34789445148</v>
      </c>
      <c r="U19" s="14" t="n">
        <f aca="false">U18*الافتراضات!$F$15</f>
        <v>1642.60580394</v>
      </c>
      <c r="V19" s="14" t="n">
        <f aca="false">V18*الافتراضات!$F$15</f>
        <v>1837.19030213512</v>
      </c>
      <c r="W19" s="14" t="n">
        <f aca="false">W18*الافتراضات!$F$15</f>
        <v>2021.65640642409</v>
      </c>
      <c r="X19" s="14" t="n">
        <f aca="false">X18*الافتراضات!$F$15</f>
        <v>2196.53027329004</v>
      </c>
      <c r="Y19" s="14" t="n">
        <f aca="false">Y18*الافتراضات!$F$15</f>
        <v>2362.31069907896</v>
      </c>
      <c r="Z19" s="14" t="n">
        <f aca="false">Z18*الافتراضات!$F$15</f>
        <v>2519.47054272685</v>
      </c>
      <c r="AA19" s="14" t="n">
        <f aca="false">AA18*الافتراضات!$F$15</f>
        <v>3088.45807450506</v>
      </c>
      <c r="AB19" s="14" t="n">
        <f aca="false">AB18*الافتراضات!$F$15</f>
        <v>3627.85825463079</v>
      </c>
      <c r="AC19" s="14" t="n">
        <f aca="false">AC18*الافتراضات!$F$15</f>
        <v>4139.20962538999</v>
      </c>
      <c r="AD19" s="14" t="n">
        <f aca="false">AD18*الافتراضات!$F$15</f>
        <v>4623.97072486971</v>
      </c>
      <c r="AE19" s="14" t="n">
        <f aca="false">AE18*الافتراضات!$F$15</f>
        <v>5083.52424717649</v>
      </c>
      <c r="AF19" s="14" t="n">
        <f aca="false">AF18*الافتراضات!$F$15</f>
        <v>5519.18098632331</v>
      </c>
      <c r="AG19" s="14" t="n">
        <f aca="false">AG18*الافتراضات!$F$15</f>
        <v>5932.1835750345</v>
      </c>
      <c r="AH19" s="14" t="n">
        <f aca="false">AH18*الافتراضات!$F$15</f>
        <v>6323.71002913271</v>
      </c>
      <c r="AI19" s="14" t="n">
        <f aca="false">AI18*الافتراضات!$F$15</f>
        <v>6694.87710761781</v>
      </c>
      <c r="AJ19" s="14" t="n">
        <f aca="false">AJ18*الافتراضات!$F$15</f>
        <v>7046.74349802168</v>
      </c>
      <c r="AK19" s="14" t="n">
        <f aca="false">AK18*الافتراضات!$F$15</f>
        <v>7380.31283612455</v>
      </c>
      <c r="AL19" s="14" t="n">
        <f aca="false">AL18*الافتراضات!$F$15</f>
        <v>7696.53656864608</v>
      </c>
    </row>
    <row r="20" customFormat="false" ht="15" hidden="false" customHeight="false" outlineLevel="0" collapsed="false">
      <c r="A20" s="10" t="s">
        <v>184</v>
      </c>
      <c r="B20" s="27" t="s">
        <v>172</v>
      </c>
      <c r="C20" s="14" t="n">
        <f aca="false">C13*الافتراضات!$F$16</f>
        <v>0</v>
      </c>
      <c r="D20" s="14" t="n">
        <f aca="false">D13*الافتراضات!$F$16</f>
        <v>0</v>
      </c>
      <c r="E20" s="14" t="n">
        <f aca="false">E13*الافتراضات!$F$16</f>
        <v>0</v>
      </c>
      <c r="F20" s="14" t="n">
        <f aca="false">F13*الافتراضات!$F$16</f>
        <v>0</v>
      </c>
      <c r="G20" s="14" t="n">
        <f aca="false">G13*الافتراضات!$F$16</f>
        <v>0</v>
      </c>
      <c r="H20" s="14" t="n">
        <f aca="false">H13*الافتراضات!$F$16</f>
        <v>0</v>
      </c>
      <c r="I20" s="14" t="n">
        <f aca="false">I13*الافتراضات!$F$16</f>
        <v>0</v>
      </c>
      <c r="J20" s="14" t="n">
        <f aca="false">J13*الافتراضات!$F$16</f>
        <v>46.6666666666667</v>
      </c>
      <c r="K20" s="14" t="n">
        <f aca="false">K13*الافتراضات!$F$16</f>
        <v>90.9066666666667</v>
      </c>
      <c r="L20" s="14" t="n">
        <f aca="false">L13*الافتراضات!$F$16</f>
        <v>121.17952</v>
      </c>
      <c r="M20" s="14" t="n">
        <f aca="false">M13*الافتراضات!$F$16</f>
        <v>149.87818496</v>
      </c>
      <c r="N20" s="14" t="n">
        <f aca="false">N13*الافتراضات!$F$16</f>
        <v>177.08451934208</v>
      </c>
      <c r="O20" s="14" t="n">
        <f aca="false">O13*الافتراضات!$F$16</f>
        <v>202.876124336292</v>
      </c>
      <c r="P20" s="14" t="n">
        <f aca="false">P13*الافتراضات!$F$16</f>
        <v>227.326565870805</v>
      </c>
      <c r="Q20" s="14" t="n">
        <f aca="false">Q13*الافتراضات!$F$16</f>
        <v>250.505584445523</v>
      </c>
      <c r="R20" s="14" t="n">
        <f aca="false">R13*الافتراضات!$F$16</f>
        <v>330.812627387689</v>
      </c>
      <c r="S20" s="14" t="n">
        <f aca="false">S13*الافتراضات!$F$16</f>
        <v>406.943704096863</v>
      </c>
      <c r="T20" s="14" t="n">
        <f aca="false">T13*الافتراضات!$F$16</f>
        <v>479.115964817159</v>
      </c>
      <c r="U20" s="14" t="n">
        <f aca="false">U13*الافتراضات!$F$16</f>
        <v>547.53526798</v>
      </c>
      <c r="V20" s="14" t="n">
        <f aca="false">V13*الافتراضات!$F$16</f>
        <v>612.396767378373</v>
      </c>
      <c r="W20" s="14" t="n">
        <f aca="false">W13*الافتراضات!$F$16</f>
        <v>673.885468808031</v>
      </c>
      <c r="X20" s="14" t="n">
        <f aca="false">X13*الافتراضات!$F$16</f>
        <v>732.176757763347</v>
      </c>
      <c r="Y20" s="14" t="n">
        <f aca="false">Y13*الافتراضات!$F$16</f>
        <v>787.436899692986</v>
      </c>
      <c r="Z20" s="14" t="n">
        <f aca="false">Z13*الافتراضات!$F$16</f>
        <v>839.823514242284</v>
      </c>
      <c r="AA20" s="14" t="n">
        <f aca="false">AA13*الافتراضات!$F$16</f>
        <v>1029.48602483502</v>
      </c>
      <c r="AB20" s="14" t="n">
        <f aca="false">AB13*الافتراضات!$F$16</f>
        <v>1209.28608487693</v>
      </c>
      <c r="AC20" s="14" t="n">
        <f aca="false">AC13*الافتراضات!$F$16</f>
        <v>1379.73654179666</v>
      </c>
      <c r="AD20" s="14" t="n">
        <f aca="false">AD13*الافتراضات!$F$16</f>
        <v>1541.32357495657</v>
      </c>
      <c r="AE20" s="14" t="n">
        <f aca="false">AE13*الافتراضات!$F$16</f>
        <v>1694.50808239216</v>
      </c>
      <c r="AF20" s="14" t="n">
        <f aca="false">AF13*الافتراضات!$F$16</f>
        <v>1839.7269954411</v>
      </c>
      <c r="AG20" s="14" t="n">
        <f aca="false">AG13*الافتراضات!$F$16</f>
        <v>1977.3945250115</v>
      </c>
      <c r="AH20" s="14" t="n">
        <f aca="false">AH13*الافتراضات!$F$16</f>
        <v>2107.90334304424</v>
      </c>
      <c r="AI20" s="14" t="n">
        <f aca="false">AI13*الافتراضات!$F$16</f>
        <v>2231.62570253927</v>
      </c>
      <c r="AJ20" s="14" t="n">
        <f aca="false">AJ13*الافتراضات!$F$16</f>
        <v>2348.91449934056</v>
      </c>
      <c r="AK20" s="14" t="n">
        <f aca="false">AK13*الافتراضات!$F$16</f>
        <v>2460.10427870818</v>
      </c>
      <c r="AL20" s="14" t="n">
        <f aca="false">AL13*الافتراضات!$F$16</f>
        <v>2565.51218954869</v>
      </c>
    </row>
    <row r="21" customFormat="false" ht="15" hidden="false" customHeight="false" outlineLevel="0" collapsed="false">
      <c r="A21" s="40" t="s">
        <v>18</v>
      </c>
      <c r="B21" s="27" t="s">
        <v>172</v>
      </c>
      <c r="C21" s="46" t="n">
        <f aca="false">C17+C19+C20</f>
        <v>0</v>
      </c>
      <c r="D21" s="46" t="n">
        <f aca="false">D17+D19+D20</f>
        <v>0</v>
      </c>
      <c r="E21" s="46" t="n">
        <f aca="false">E17+E19+E20</f>
        <v>0</v>
      </c>
      <c r="F21" s="46" t="n">
        <f aca="false">F17+F19+F20</f>
        <v>0</v>
      </c>
      <c r="G21" s="46" t="n">
        <f aca="false">G17+G19+G20</f>
        <v>0</v>
      </c>
      <c r="H21" s="46" t="n">
        <f aca="false">H17+H19+H20</f>
        <v>0</v>
      </c>
      <c r="I21" s="46" t="n">
        <f aca="false">I17+I19+I20</f>
        <v>0</v>
      </c>
      <c r="J21" s="46" t="n">
        <f aca="false">J17+J19+J20</f>
        <v>513.333333333333</v>
      </c>
      <c r="K21" s="46" t="n">
        <f aca="false">K17+K19+K20</f>
        <v>999.973333333334</v>
      </c>
      <c r="L21" s="46" t="n">
        <f aca="false">L17+L19+L20</f>
        <v>1696.51328</v>
      </c>
      <c r="M21" s="46" t="n">
        <f aca="false">M17+M19+M20</f>
        <v>2098.29458944</v>
      </c>
      <c r="N21" s="46" t="n">
        <f aca="false">N17+N19+N20</f>
        <v>2479.18327078912</v>
      </c>
      <c r="O21" s="46" t="n">
        <f aca="false">O17+O19+O20</f>
        <v>2840.26574070809</v>
      </c>
      <c r="P21" s="46" t="n">
        <f aca="false">P17+P19+P20</f>
        <v>3182.57192219127</v>
      </c>
      <c r="Q21" s="46" t="n">
        <f aca="false">Q17+Q19+Q20</f>
        <v>3507.07818223732</v>
      </c>
      <c r="R21" s="46" t="n">
        <f aca="false">R17+R19+R20</f>
        <v>4631.37678342765</v>
      </c>
      <c r="S21" s="46" t="n">
        <f aca="false">S17+S19+S20</f>
        <v>5697.21185735608</v>
      </c>
      <c r="T21" s="46" t="n">
        <f aca="false">T17+T19+T20</f>
        <v>6707.62350744023</v>
      </c>
      <c r="U21" s="46" t="n">
        <f aca="false">U17+U19+U20</f>
        <v>7665.49375172</v>
      </c>
      <c r="V21" s="46" t="n">
        <f aca="false">V17+V19+V20</f>
        <v>8573.55474329723</v>
      </c>
      <c r="W21" s="46" t="n">
        <f aca="false">W17+W19+W20</f>
        <v>9434.39656331244</v>
      </c>
      <c r="X21" s="46" t="n">
        <f aca="false">X17+X19+X20</f>
        <v>10250.4746086869</v>
      </c>
      <c r="Y21" s="46" t="n">
        <f aca="false">Y17+Y19+Y20</f>
        <v>11024.1165957018</v>
      </c>
      <c r="Z21" s="46" t="n">
        <f aca="false">Z17+Z19+Z20</f>
        <v>11757.529199392</v>
      </c>
      <c r="AA21" s="46" t="n">
        <f aca="false">AA17+AA19+AA20</f>
        <v>14412.8043476903</v>
      </c>
      <c r="AB21" s="46" t="n">
        <f aca="false">AB17+AB19+AB20</f>
        <v>16930.005188277</v>
      </c>
      <c r="AC21" s="46" t="n">
        <f aca="false">AC17+AC19+AC20</f>
        <v>19316.3115851533</v>
      </c>
      <c r="AD21" s="46" t="n">
        <f aca="false">AD17+AD19+AD20</f>
        <v>21578.530049392</v>
      </c>
      <c r="AE21" s="46" t="n">
        <f aca="false">AE17+AE19+AE20</f>
        <v>23723.1131534903</v>
      </c>
      <c r="AF21" s="46" t="n">
        <f aca="false">AF17+AF19+AF20</f>
        <v>25756.1779361755</v>
      </c>
      <c r="AG21" s="46" t="n">
        <f aca="false">AG17+AG19+AG20</f>
        <v>27683.523350161</v>
      </c>
      <c r="AH21" s="46" t="n">
        <f aca="false">AH17+AH19+AH20</f>
        <v>29510.6468026193</v>
      </c>
      <c r="AI21" s="46" t="n">
        <f aca="false">AI17+AI19+AI20</f>
        <v>31242.7598355498</v>
      </c>
      <c r="AJ21" s="46" t="n">
        <f aca="false">AJ17+AJ19+AJ20</f>
        <v>32884.8029907678</v>
      </c>
      <c r="AK21" s="46" t="n">
        <f aca="false">AK17+AK19+AK20</f>
        <v>34441.4599019146</v>
      </c>
      <c r="AL21" s="46" t="n">
        <f aca="false">AL17+AL19+AL20</f>
        <v>35917.1706536817</v>
      </c>
    </row>
    <row r="23" customFormat="false" ht="15" hidden="false" customHeight="false" outlineLevel="0" collapsed="false">
      <c r="A23" s="8" t="s">
        <v>19</v>
      </c>
      <c r="B23" s="8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</row>
    <row r="24" customFormat="false" ht="15" hidden="false" customHeight="false" outlineLevel="0" collapsed="false">
      <c r="A24" s="10" t="s">
        <v>83</v>
      </c>
      <c r="B24" s="27" t="s">
        <v>172</v>
      </c>
      <c r="C24" s="14" t="n">
        <f aca="false">C17*الافتراضات!$C$24</f>
        <v>0</v>
      </c>
      <c r="D24" s="14" t="n">
        <f aca="false">D17*الافتراضات!$C$24</f>
        <v>0</v>
      </c>
      <c r="E24" s="14" t="n">
        <f aca="false">E17*الافتراضات!$C$24</f>
        <v>0</v>
      </c>
      <c r="F24" s="14" t="n">
        <f aca="false">F17*الافتراضات!$C$24</f>
        <v>0</v>
      </c>
      <c r="G24" s="14" t="n">
        <f aca="false">G17*الافتراضات!$C$24</f>
        <v>0</v>
      </c>
      <c r="H24" s="14" t="n">
        <f aca="false">H17*الافتراضات!$C$24</f>
        <v>0</v>
      </c>
      <c r="I24" s="14" t="n">
        <f aca="false">I17*الافتراضات!$C$24</f>
        <v>0</v>
      </c>
      <c r="J24" s="14" t="n">
        <f aca="false">J17*الافتراضات!$C$24</f>
        <v>140</v>
      </c>
      <c r="K24" s="14" t="n">
        <f aca="false">K17*الافتراضات!$C$24</f>
        <v>272.72</v>
      </c>
      <c r="L24" s="14" t="n">
        <f aca="false">L17*الافتراضات!$C$24</f>
        <v>363.53856</v>
      </c>
      <c r="M24" s="14" t="n">
        <f aca="false">M17*الافتراضات!$C$24</f>
        <v>449.63455488</v>
      </c>
      <c r="N24" s="14" t="n">
        <f aca="false">N17*الافتراضات!$C$24</f>
        <v>531.25355802624</v>
      </c>
      <c r="O24" s="14" t="n">
        <f aca="false">O17*الافتراضات!$C$24</f>
        <v>608.628373008876</v>
      </c>
      <c r="P24" s="14" t="n">
        <f aca="false">P17*الافتراضات!$C$24</f>
        <v>681.979697612414</v>
      </c>
      <c r="Q24" s="14" t="n">
        <f aca="false">Q17*الافتراضات!$C$24</f>
        <v>751.516753336569</v>
      </c>
      <c r="R24" s="14" t="n">
        <f aca="false">R17*الافتراضات!$C$24</f>
        <v>992.437882163067</v>
      </c>
      <c r="S24" s="14" t="n">
        <f aca="false">S17*الافتراضات!$C$24</f>
        <v>1220.83111229059</v>
      </c>
      <c r="T24" s="14" t="n">
        <f aca="false">T17*الافتراضات!$C$24</f>
        <v>1437.34789445148</v>
      </c>
      <c r="U24" s="14" t="n">
        <f aca="false">U17*الافتراضات!$C$24</f>
        <v>1642.60580394</v>
      </c>
      <c r="V24" s="14" t="n">
        <f aca="false">V17*الافتراضات!$C$24</f>
        <v>1837.19030213512</v>
      </c>
      <c r="W24" s="14" t="n">
        <f aca="false">W17*الافتراضات!$C$24</f>
        <v>2021.65640642409</v>
      </c>
      <c r="X24" s="14" t="n">
        <f aca="false">X17*الافتراضات!$C$24</f>
        <v>2196.53027329004</v>
      </c>
      <c r="Y24" s="14" t="n">
        <f aca="false">Y17*الافتراضات!$C$24</f>
        <v>2362.31069907896</v>
      </c>
      <c r="Z24" s="14" t="n">
        <f aca="false">Z17*الافتراضات!$C$24</f>
        <v>2519.47054272685</v>
      </c>
      <c r="AA24" s="14" t="n">
        <f aca="false">AA17*الافتراضات!$C$24</f>
        <v>3088.45807450506</v>
      </c>
      <c r="AB24" s="14" t="n">
        <f aca="false">AB17*الافتراضات!$C$24</f>
        <v>3627.85825463079</v>
      </c>
      <c r="AC24" s="14" t="n">
        <f aca="false">AC17*الافتراضات!$C$24</f>
        <v>4139.20962538999</v>
      </c>
      <c r="AD24" s="14" t="n">
        <f aca="false">AD17*الافتراضات!$C$24</f>
        <v>4623.97072486971</v>
      </c>
      <c r="AE24" s="14" t="n">
        <f aca="false">AE17*الافتراضات!$C$24</f>
        <v>5083.52424717649</v>
      </c>
      <c r="AF24" s="14" t="n">
        <f aca="false">AF17*الافتراضات!$C$24</f>
        <v>5519.18098632331</v>
      </c>
      <c r="AG24" s="14" t="n">
        <f aca="false">AG17*الافتراضات!$C$24</f>
        <v>5932.1835750345</v>
      </c>
      <c r="AH24" s="14" t="n">
        <f aca="false">AH17*الافتراضات!$C$24</f>
        <v>6323.71002913271</v>
      </c>
      <c r="AI24" s="14" t="n">
        <f aca="false">AI17*الافتراضات!$C$24</f>
        <v>6694.87710761781</v>
      </c>
      <c r="AJ24" s="14" t="n">
        <f aca="false">AJ17*الافتراضات!$C$24</f>
        <v>7046.74349802168</v>
      </c>
      <c r="AK24" s="14" t="n">
        <f aca="false">AK17*الافتراضات!$C$24</f>
        <v>7380.31283612455</v>
      </c>
      <c r="AL24" s="14" t="n">
        <f aca="false">AL17*الافتراضات!$C$24</f>
        <v>7696.53656864608</v>
      </c>
    </row>
    <row r="25" customFormat="false" ht="15" hidden="false" customHeight="false" outlineLevel="0" collapsed="false">
      <c r="A25" s="10" t="s">
        <v>185</v>
      </c>
      <c r="B25" s="27" t="s">
        <v>172</v>
      </c>
      <c r="C25" s="14" t="n">
        <f aca="false">الافتراضات!$C$25+C13*الافتراضات!$C$26</f>
        <v>300</v>
      </c>
      <c r="D25" s="14" t="n">
        <f aca="false">الافتراضات!$C$25+D13*الافتراضات!$C$26</f>
        <v>300</v>
      </c>
      <c r="E25" s="14" t="n">
        <f aca="false">الافتراضات!$C$25+E13*الافتراضات!$C$26</f>
        <v>300</v>
      </c>
      <c r="F25" s="14" t="n">
        <f aca="false">الافتراضات!$C$25+F13*الافتراضات!$C$26</f>
        <v>300</v>
      </c>
      <c r="G25" s="14" t="n">
        <f aca="false">الافتراضات!$C$25+G13*الافتراضات!$C$26</f>
        <v>300</v>
      </c>
      <c r="H25" s="14" t="n">
        <f aca="false">الافتراضات!$C$25+H13*الافتراضات!$C$26</f>
        <v>300</v>
      </c>
      <c r="I25" s="14" t="n">
        <f aca="false">الافتراضات!$C$25+I13*الافتراضات!$C$26</f>
        <v>300</v>
      </c>
      <c r="J25" s="14" t="n">
        <f aca="false">الافتراضات!$C$25+J13*الافتراضات!$C$26</f>
        <v>370</v>
      </c>
      <c r="K25" s="14" t="n">
        <f aca="false">الافتراضات!$C$25+K13*الافتراضات!$C$26</f>
        <v>436.36</v>
      </c>
      <c r="L25" s="14" t="n">
        <f aca="false">الافتراضات!$C$25+L13*الافتراضات!$C$26</f>
        <v>481.76928</v>
      </c>
      <c r="M25" s="14" t="n">
        <f aca="false">الافتراضات!$C$25+M13*الافتراضات!$C$26</f>
        <v>524.81727744</v>
      </c>
      <c r="N25" s="14" t="n">
        <f aca="false">الافتراضات!$C$25+N13*الافتراضات!$C$26</f>
        <v>565.62677901312</v>
      </c>
      <c r="O25" s="14" t="n">
        <f aca="false">الافتراضات!$C$25+O13*الافتراضات!$C$26</f>
        <v>604.314186504438</v>
      </c>
      <c r="P25" s="14" t="n">
        <f aca="false">الافتراضات!$C$25+P13*الافتراضات!$C$26</f>
        <v>640.989848806207</v>
      </c>
      <c r="Q25" s="14" t="n">
        <f aca="false">الافتراضات!$C$25+Q13*الافتراضات!$C$26</f>
        <v>675.758376668284</v>
      </c>
      <c r="R25" s="14" t="n">
        <f aca="false">الافتراضات!$C$25+R13*الافتراضات!$C$26</f>
        <v>796.218941081533</v>
      </c>
      <c r="S25" s="14" t="n">
        <f aca="false">الافتراضات!$C$25+S13*الافتراضات!$C$26</f>
        <v>910.415556145294</v>
      </c>
      <c r="T25" s="14" t="n">
        <f aca="false">الافتراضات!$C$25+T13*الافتراضات!$C$26</f>
        <v>1018.67394722574</v>
      </c>
      <c r="U25" s="14" t="n">
        <f aca="false">الافتراضات!$C$25+U13*الافتراضات!$C$26</f>
        <v>1121.30290197</v>
      </c>
      <c r="V25" s="14" t="n">
        <f aca="false">الافتراضات!$C$25+V13*الافتراضات!$C$26</f>
        <v>1218.59515106756</v>
      </c>
      <c r="W25" s="14" t="n">
        <f aca="false">الافتراضات!$C$25+W13*الافتراضات!$C$26</f>
        <v>1310.82820321205</v>
      </c>
      <c r="X25" s="14" t="n">
        <f aca="false">الافتراضات!$C$25+X13*الافتراضات!$C$26</f>
        <v>1398.26513664502</v>
      </c>
      <c r="Y25" s="14" t="n">
        <f aca="false">الافتراضات!$C$25+Y13*الافتراضات!$C$26</f>
        <v>1481.15534953948</v>
      </c>
      <c r="Z25" s="14" t="n">
        <f aca="false">الافتراضات!$C$25+Z13*الافتراضات!$C$26</f>
        <v>1559.73527136343</v>
      </c>
      <c r="AA25" s="14" t="n">
        <f aca="false">الافتراضات!$C$25+AA13*الافتراضات!$C$26</f>
        <v>1844.22903725253</v>
      </c>
      <c r="AB25" s="14" t="n">
        <f aca="false">الافتراضات!$C$25+AB13*الافتراضات!$C$26</f>
        <v>2113.9291273154</v>
      </c>
      <c r="AC25" s="14" t="n">
        <f aca="false">الافتراضات!$C$25+AC13*الافتراضات!$C$26</f>
        <v>2369.604812695</v>
      </c>
      <c r="AD25" s="14" t="n">
        <f aca="false">الافتراضات!$C$25+AD13*الافتراضات!$C$26</f>
        <v>2611.98536243486</v>
      </c>
      <c r="AE25" s="14" t="n">
        <f aca="false">الافتراضات!$C$25+AE13*الافتراضات!$C$26</f>
        <v>2841.76212358824</v>
      </c>
      <c r="AF25" s="14" t="n">
        <f aca="false">الافتراضات!$C$25+AF13*الافتراضات!$C$26</f>
        <v>3059.59049316166</v>
      </c>
      <c r="AG25" s="14" t="n">
        <f aca="false">الافتراضات!$C$25+AG13*الافتراضات!$C$26</f>
        <v>3266.09178751725</v>
      </c>
      <c r="AH25" s="14" t="n">
        <f aca="false">الافتراضات!$C$25+AH13*الافتراضات!$C$26</f>
        <v>3461.85501456635</v>
      </c>
      <c r="AI25" s="14" t="n">
        <f aca="false">الافتراضات!$C$25+AI13*الافتراضات!$C$26</f>
        <v>3647.4385538089</v>
      </c>
      <c r="AJ25" s="14" t="n">
        <f aca="false">الافتراضات!$C$25+AJ13*الافتراضات!$C$26</f>
        <v>3823.37174901084</v>
      </c>
      <c r="AK25" s="14" t="n">
        <f aca="false">الافتراضات!$C$25+AK13*الافتراضات!$C$26</f>
        <v>3990.15641806228</v>
      </c>
      <c r="AL25" s="14" t="n">
        <f aca="false">الافتراضات!$C$25+AL13*الافتراضات!$C$26</f>
        <v>4148.26828432304</v>
      </c>
    </row>
    <row r="26" customFormat="false" ht="15" hidden="false" customHeight="false" outlineLevel="0" collapsed="false">
      <c r="A26" s="10" t="s">
        <v>186</v>
      </c>
      <c r="B26" s="27" t="s">
        <v>172</v>
      </c>
      <c r="C26" s="14" t="n">
        <f aca="false">C13*الافتراضات!$C$27</f>
        <v>0</v>
      </c>
      <c r="D26" s="14" t="n">
        <f aca="false">D13*الافتراضات!$C$27</f>
        <v>0</v>
      </c>
      <c r="E26" s="14" t="n">
        <f aca="false">E13*الافتراضات!$C$27</f>
        <v>0</v>
      </c>
      <c r="F26" s="14" t="n">
        <f aca="false">F13*الافتراضات!$C$27</f>
        <v>0</v>
      </c>
      <c r="G26" s="14" t="n">
        <f aca="false">G13*الافتراضات!$C$27</f>
        <v>0</v>
      </c>
      <c r="H26" s="14" t="n">
        <f aca="false">H13*الافتراضات!$C$27</f>
        <v>0</v>
      </c>
      <c r="I26" s="14" t="n">
        <f aca="false">I13*الافتراضات!$C$27</f>
        <v>0</v>
      </c>
      <c r="J26" s="14" t="n">
        <f aca="false">J13*الافتراضات!$C$27</f>
        <v>23.3333333333333</v>
      </c>
      <c r="K26" s="14" t="n">
        <f aca="false">K13*الافتراضات!$C$27</f>
        <v>45.4533333333333</v>
      </c>
      <c r="L26" s="14" t="n">
        <f aca="false">L13*الافتراضات!$C$27</f>
        <v>60.58976</v>
      </c>
      <c r="M26" s="14" t="n">
        <f aca="false">M13*الافتراضات!$C$27</f>
        <v>74.93909248</v>
      </c>
      <c r="N26" s="14" t="n">
        <f aca="false">N13*الافتراضات!$C$27</f>
        <v>88.54225967104</v>
      </c>
      <c r="O26" s="14" t="n">
        <f aca="false">O13*الافتراضات!$C$27</f>
        <v>101.438062168146</v>
      </c>
      <c r="P26" s="14" t="n">
        <f aca="false">P13*الافتراضات!$C$27</f>
        <v>113.663282935402</v>
      </c>
      <c r="Q26" s="14" t="n">
        <f aca="false">Q13*الافتراضات!$C$27</f>
        <v>125.252792222761</v>
      </c>
      <c r="R26" s="14" t="n">
        <f aca="false">R13*الافتراضات!$C$27</f>
        <v>165.406313693845</v>
      </c>
      <c r="S26" s="14" t="n">
        <f aca="false">S13*الافتراضات!$C$27</f>
        <v>203.471852048431</v>
      </c>
      <c r="T26" s="14" t="n">
        <f aca="false">T13*الافتراضات!$C$27</f>
        <v>239.557982408579</v>
      </c>
      <c r="U26" s="14" t="n">
        <f aca="false">U13*الافتراضات!$C$27</f>
        <v>273.76763399</v>
      </c>
      <c r="V26" s="14" t="n">
        <f aca="false">V13*الافتراضات!$C$27</f>
        <v>306.198383689187</v>
      </c>
      <c r="W26" s="14" t="n">
        <f aca="false">W13*الافتراضات!$C$27</f>
        <v>336.942734404016</v>
      </c>
      <c r="X26" s="14" t="n">
        <f aca="false">X13*الافتراضات!$C$27</f>
        <v>366.088378881674</v>
      </c>
      <c r="Y26" s="14" t="n">
        <f aca="false">Y13*الافتراضات!$C$27</f>
        <v>393.718449846493</v>
      </c>
      <c r="Z26" s="14" t="n">
        <f aca="false">Z13*الافتراضات!$C$27</f>
        <v>419.911757121142</v>
      </c>
      <c r="AA26" s="14" t="n">
        <f aca="false">AA13*الافتراضات!$C$27</f>
        <v>514.74301241751</v>
      </c>
      <c r="AB26" s="14" t="n">
        <f aca="false">AB13*الافتراضات!$C$27</f>
        <v>604.643042438466</v>
      </c>
      <c r="AC26" s="14" t="n">
        <f aca="false">AC13*الافتراضات!$C$27</f>
        <v>689.868270898332</v>
      </c>
      <c r="AD26" s="14" t="n">
        <f aca="false">AD13*الافتراضات!$C$27</f>
        <v>770.661787478286</v>
      </c>
      <c r="AE26" s="14" t="n">
        <f aca="false">AE13*الافتراضات!$C$27</f>
        <v>847.254041196082</v>
      </c>
      <c r="AF26" s="14" t="n">
        <f aca="false">AF13*الافتراضات!$C$27</f>
        <v>919.863497720552</v>
      </c>
      <c r="AG26" s="14" t="n">
        <f aca="false">AG13*الافتراضات!$C$27</f>
        <v>988.69726250575</v>
      </c>
      <c r="AH26" s="14" t="n">
        <f aca="false">AH13*الافتراضات!$C$27</f>
        <v>1053.95167152212</v>
      </c>
      <c r="AI26" s="14" t="n">
        <f aca="false">AI13*الافتراضات!$C$27</f>
        <v>1115.81285126963</v>
      </c>
      <c r="AJ26" s="14" t="n">
        <f aca="false">AJ13*الافتراضات!$C$27</f>
        <v>1174.45724967028</v>
      </c>
      <c r="AK26" s="14" t="n">
        <f aca="false">AK13*الافتراضات!$C$27</f>
        <v>1230.05213935409</v>
      </c>
      <c r="AL26" s="14" t="n">
        <f aca="false">AL13*الافتراضات!$C$27</f>
        <v>1282.75609477435</v>
      </c>
    </row>
    <row r="27" customFormat="false" ht="15" hidden="false" customHeight="false" outlineLevel="0" collapsed="false">
      <c r="A27" s="10" t="s">
        <v>187</v>
      </c>
      <c r="B27" s="27" t="s">
        <v>172</v>
      </c>
      <c r="C27" s="14" t="n">
        <f aca="false">C24+C25+C26</f>
        <v>300</v>
      </c>
      <c r="D27" s="14" t="n">
        <f aca="false">D24+D25+D26</f>
        <v>300</v>
      </c>
      <c r="E27" s="14" t="n">
        <f aca="false">E24+E25+E26</f>
        <v>300</v>
      </c>
      <c r="F27" s="14" t="n">
        <f aca="false">F24+F25+F26</f>
        <v>300</v>
      </c>
      <c r="G27" s="14" t="n">
        <f aca="false">G24+G25+G26</f>
        <v>300</v>
      </c>
      <c r="H27" s="14" t="n">
        <f aca="false">H24+H25+H26</f>
        <v>300</v>
      </c>
      <c r="I27" s="14" t="n">
        <f aca="false">I24+I25+I26</f>
        <v>300</v>
      </c>
      <c r="J27" s="14" t="n">
        <f aca="false">J24+J25+J26</f>
        <v>533.333333333333</v>
      </c>
      <c r="K27" s="14" t="n">
        <f aca="false">K24+K25+K26</f>
        <v>754.533333333333</v>
      </c>
      <c r="L27" s="14" t="n">
        <f aca="false">L24+L25+L26</f>
        <v>905.8976</v>
      </c>
      <c r="M27" s="14" t="n">
        <f aca="false">M24+M25+M26</f>
        <v>1049.3909248</v>
      </c>
      <c r="N27" s="14" t="n">
        <f aca="false">N24+N25+N26</f>
        <v>1185.4225967104</v>
      </c>
      <c r="O27" s="14" t="n">
        <f aca="false">O24+O25+O26</f>
        <v>1314.38062168146</v>
      </c>
      <c r="P27" s="14" t="n">
        <f aca="false">P24+P25+P26</f>
        <v>1436.63282935402</v>
      </c>
      <c r="Q27" s="14" t="n">
        <f aca="false">Q24+Q25+Q26</f>
        <v>1552.52792222761</v>
      </c>
      <c r="R27" s="14" t="n">
        <f aca="false">R24+R25+R26</f>
        <v>1954.06313693845</v>
      </c>
      <c r="S27" s="14" t="n">
        <f aca="false">S24+S25+S26</f>
        <v>2334.71852048431</v>
      </c>
      <c r="T27" s="14" t="n">
        <f aca="false">T24+T25+T26</f>
        <v>2695.57982408579</v>
      </c>
      <c r="U27" s="14" t="n">
        <f aca="false">U24+U25+U26</f>
        <v>3037.6763399</v>
      </c>
      <c r="V27" s="14" t="n">
        <f aca="false">V24+V25+V26</f>
        <v>3361.98383689187</v>
      </c>
      <c r="W27" s="14" t="n">
        <f aca="false">W24+W25+W26</f>
        <v>3669.42734404016</v>
      </c>
      <c r="X27" s="14" t="n">
        <f aca="false">X24+X25+X26</f>
        <v>3960.88378881674</v>
      </c>
      <c r="Y27" s="14" t="n">
        <f aca="false">Y24+Y25+Y26</f>
        <v>4237.18449846493</v>
      </c>
      <c r="Z27" s="14" t="n">
        <f aca="false">Z24+Z25+Z26</f>
        <v>4499.11757121142</v>
      </c>
      <c r="AA27" s="14" t="n">
        <f aca="false">AA24+AA25+AA26</f>
        <v>5447.43012417509</v>
      </c>
      <c r="AB27" s="14" t="n">
        <f aca="false">AB24+AB25+AB26</f>
        <v>6346.43042438466</v>
      </c>
      <c r="AC27" s="14" t="n">
        <f aca="false">AC24+AC25+AC26</f>
        <v>7198.68270898332</v>
      </c>
      <c r="AD27" s="14" t="n">
        <f aca="false">AD24+AD25+AD26</f>
        <v>8006.61787478286</v>
      </c>
      <c r="AE27" s="14" t="n">
        <f aca="false">AE24+AE25+AE26</f>
        <v>8772.54041196082</v>
      </c>
      <c r="AF27" s="14" t="n">
        <f aca="false">AF24+AF25+AF26</f>
        <v>9498.63497720552</v>
      </c>
      <c r="AG27" s="14" t="n">
        <f aca="false">AG24+AG25+AG26</f>
        <v>10186.9726250575</v>
      </c>
      <c r="AH27" s="14" t="n">
        <f aca="false">AH24+AH25+AH26</f>
        <v>10839.5167152212</v>
      </c>
      <c r="AI27" s="14" t="n">
        <f aca="false">AI24+AI25+AI26</f>
        <v>11458.1285126963</v>
      </c>
      <c r="AJ27" s="14" t="n">
        <f aca="false">AJ24+AJ25+AJ26</f>
        <v>12044.5724967028</v>
      </c>
      <c r="AK27" s="14" t="n">
        <f aca="false">AK24+AK25+AK26</f>
        <v>12600.5213935409</v>
      </c>
      <c r="AL27" s="14" t="n">
        <f aca="false">AL24+AL25+AL26</f>
        <v>13127.5609477435</v>
      </c>
    </row>
    <row r="28" customFormat="false" ht="15" hidden="false" customHeight="false" outlineLevel="0" collapsed="false">
      <c r="A28" s="40" t="s">
        <v>20</v>
      </c>
      <c r="B28" s="27" t="s">
        <v>172</v>
      </c>
      <c r="C28" s="46" t="n">
        <f aca="false">C21-C27</f>
        <v>-300</v>
      </c>
      <c r="D28" s="46" t="n">
        <f aca="false">D21-D27</f>
        <v>-300</v>
      </c>
      <c r="E28" s="46" t="n">
        <f aca="false">E21-E27</f>
        <v>-300</v>
      </c>
      <c r="F28" s="46" t="n">
        <f aca="false">F21-F27</f>
        <v>-300</v>
      </c>
      <c r="G28" s="46" t="n">
        <f aca="false">G21-G27</f>
        <v>-300</v>
      </c>
      <c r="H28" s="46" t="n">
        <f aca="false">H21-H27</f>
        <v>-300</v>
      </c>
      <c r="I28" s="46" t="n">
        <f aca="false">I21-I27</f>
        <v>-300</v>
      </c>
      <c r="J28" s="46" t="n">
        <f aca="false">J21-J27</f>
        <v>-20</v>
      </c>
      <c r="K28" s="46" t="n">
        <f aca="false">K21-K27</f>
        <v>245.44</v>
      </c>
      <c r="L28" s="46" t="n">
        <f aca="false">L21-L27</f>
        <v>790.61568</v>
      </c>
      <c r="M28" s="46" t="n">
        <f aca="false">M21-M27</f>
        <v>1048.90366464</v>
      </c>
      <c r="N28" s="46" t="n">
        <f aca="false">N21-N27</f>
        <v>1293.76067407872</v>
      </c>
      <c r="O28" s="46" t="n">
        <f aca="false">O21-O27</f>
        <v>1525.88511902663</v>
      </c>
      <c r="P28" s="46" t="n">
        <f aca="false">P21-P27</f>
        <v>1745.93909283724</v>
      </c>
      <c r="Q28" s="46" t="n">
        <f aca="false">Q21-Q27</f>
        <v>1954.55026000971</v>
      </c>
      <c r="R28" s="46" t="n">
        <f aca="false">R21-R27</f>
        <v>2677.3136464892</v>
      </c>
      <c r="S28" s="46" t="n">
        <f aca="false">S21-S27</f>
        <v>3362.49333687176</v>
      </c>
      <c r="T28" s="46" t="n">
        <f aca="false">T21-T27</f>
        <v>4012.04368335443</v>
      </c>
      <c r="U28" s="46" t="n">
        <f aca="false">U21-U27</f>
        <v>4627.81741182</v>
      </c>
      <c r="V28" s="46" t="n">
        <f aca="false">V21-V27</f>
        <v>5211.57090640536</v>
      </c>
      <c r="W28" s="46" t="n">
        <f aca="false">W21-W27</f>
        <v>5764.96921927228</v>
      </c>
      <c r="X28" s="46" t="n">
        <f aca="false">X21-X27</f>
        <v>6289.59081987012</v>
      </c>
      <c r="Y28" s="46" t="n">
        <f aca="false">Y21-Y27</f>
        <v>6786.93209723688</v>
      </c>
      <c r="Z28" s="46" t="n">
        <f aca="false">Z21-Z27</f>
        <v>7258.41162818056</v>
      </c>
      <c r="AA28" s="46" t="n">
        <f aca="false">AA21-AA27</f>
        <v>8965.37422351517</v>
      </c>
      <c r="AB28" s="46" t="n">
        <f aca="false">AB21-AB27</f>
        <v>10583.5747638924</v>
      </c>
      <c r="AC28" s="46" t="n">
        <f aca="false">AC21-AC27</f>
        <v>12117.62887617</v>
      </c>
      <c r="AD28" s="46" t="n">
        <f aca="false">AD21-AD27</f>
        <v>13571.9121746091</v>
      </c>
      <c r="AE28" s="46" t="n">
        <f aca="false">AE21-AE27</f>
        <v>14950.5727415295</v>
      </c>
      <c r="AF28" s="46" t="n">
        <f aca="false">AF21-AF27</f>
        <v>16257.5429589699</v>
      </c>
      <c r="AG28" s="46" t="n">
        <f aca="false">AG21-AG27</f>
        <v>17496.5507251035</v>
      </c>
      <c r="AH28" s="46" t="n">
        <f aca="false">AH21-AH27</f>
        <v>18671.1300873981</v>
      </c>
      <c r="AI28" s="46" t="n">
        <f aca="false">AI21-AI27</f>
        <v>19784.6313228534</v>
      </c>
      <c r="AJ28" s="46" t="n">
        <f aca="false">AJ21-AJ27</f>
        <v>20840.230494065</v>
      </c>
      <c r="AK28" s="46" t="n">
        <f aca="false">AK21-AK27</f>
        <v>21840.9385083737</v>
      </c>
      <c r="AL28" s="46" t="n">
        <f aca="false">AL21-AL27</f>
        <v>22789.6097059382</v>
      </c>
    </row>
    <row r="29" customFormat="false" ht="15" hidden="false" customHeight="false" outlineLevel="0" collapsed="false">
      <c r="A29" s="10" t="s">
        <v>32</v>
      </c>
      <c r="B29" s="27" t="s">
        <v>188</v>
      </c>
      <c r="C29" s="17" t="n">
        <f aca="false">IF(C21&gt;0,C28/C21,0)</f>
        <v>0</v>
      </c>
      <c r="D29" s="17" t="n">
        <f aca="false">IF(D21&gt;0,D28/D21,0)</f>
        <v>0</v>
      </c>
      <c r="E29" s="17" t="n">
        <f aca="false">IF(E21&gt;0,E28/E21,0)</f>
        <v>0</v>
      </c>
      <c r="F29" s="17" t="n">
        <f aca="false">IF(F21&gt;0,F28/F21,0)</f>
        <v>0</v>
      </c>
      <c r="G29" s="17" t="n">
        <f aca="false">IF(G21&gt;0,G28/G21,0)</f>
        <v>0</v>
      </c>
      <c r="H29" s="17" t="n">
        <f aca="false">IF(H21&gt;0,H28/H21,0)</f>
        <v>0</v>
      </c>
      <c r="I29" s="17" t="n">
        <f aca="false">IF(I21&gt;0,I28/I21,0)</f>
        <v>0</v>
      </c>
      <c r="J29" s="17" t="n">
        <f aca="false">IF(J21&gt;0,J28/J21,0)</f>
        <v>-0.038961038961039</v>
      </c>
      <c r="K29" s="17" t="n">
        <f aca="false">IF(K21&gt;0,K28/K21,0)</f>
        <v>0.245446545241206</v>
      </c>
      <c r="L29" s="17" t="n">
        <f aca="false">IF(L21&gt;0,L28/L21,0)</f>
        <v>0.466023867493687</v>
      </c>
      <c r="M29" s="17" t="n">
        <f aca="false">IF(M21&gt;0,M28/M21,0)</f>
        <v>0.499883891384353</v>
      </c>
      <c r="N29" s="17" t="n">
        <f aca="false">IF(N21&gt;0,N28/N21,0)</f>
        <v>0.521849549939452</v>
      </c>
      <c r="O29" s="17" t="n">
        <f aca="false">IF(O21&gt;0,O28/O21,0)</f>
        <v>0.537233223341355</v>
      </c>
      <c r="P29" s="17" t="n">
        <f aca="false">IF(P21&gt;0,P28/P21,0)</f>
        <v>0.548593758608644</v>
      </c>
      <c r="Q29" s="17" t="n">
        <f aca="false">IF(Q21&gt;0,Q28/Q21,0)</f>
        <v>0.557315850530259</v>
      </c>
      <c r="R29" s="17" t="n">
        <f aca="false">IF(R21&gt;0,R28/R21,0)</f>
        <v>0.578081588194114</v>
      </c>
      <c r="S29" s="17" t="n">
        <f aca="false">IF(S21&gt;0,S28/S21,0)</f>
        <v>0.590199806687934</v>
      </c>
      <c r="T29" s="17" t="n">
        <f aca="false">IF(T21&gt;0,T28/T21,0)</f>
        <v>0.598131913471917</v>
      </c>
      <c r="U29" s="17" t="n">
        <f aca="false">IF(U21&gt;0,U28/U21,0)</f>
        <v>0.603720720636111</v>
      </c>
      <c r="V29" s="17" t="n">
        <f aca="false">IF(V21&gt;0,V28/V21,0)</f>
        <v>0.607865822572574</v>
      </c>
      <c r="W29" s="17" t="n">
        <f aca="false">IF(W21&gt;0,W28/W21,0)</f>
        <v>0.611058606725366</v>
      </c>
      <c r="X29" s="17" t="n">
        <f aca="false">IF(X21&gt;0,X28/X21,0)</f>
        <v>0.61359020532961</v>
      </c>
      <c r="Y29" s="17" t="n">
        <f aca="false">IF(Y21&gt;0,Y28/Y21,0)</f>
        <v>0.615644077991976</v>
      </c>
      <c r="Z29" s="17" t="n">
        <f aca="false">IF(Z21&gt;0,Z28/Z21,0)</f>
        <v>0.617341577901921</v>
      </c>
      <c r="AA29" s="17" t="n">
        <f aca="false">IF(AA21&gt;0,AA28/AA21,0)</f>
        <v>0.622042317874934</v>
      </c>
      <c r="AB29" s="17" t="n">
        <f aca="false">IF(AB21&gt;0,AB28/AB21,0)</f>
        <v>0.625137124660827</v>
      </c>
      <c r="AC29" s="17" t="n">
        <f aca="false">IF(AC21&gt;0,AC28/AC21,0)</f>
        <v>0.627326227512488</v>
      </c>
      <c r="AD29" s="17" t="n">
        <f aca="false">IF(AD21&gt;0,AD28/AD21,0)</f>
        <v>0.628954434965859</v>
      </c>
      <c r="AE29" s="17" t="n">
        <f aca="false">IF(AE21&gt;0,AE28/AE21,0)</f>
        <v>0.630211247773349</v>
      </c>
      <c r="AF29" s="17" t="n">
        <f aca="false">IF(AF21&gt;0,AF28/AF21,0)</f>
        <v>0.631209451932526</v>
      </c>
      <c r="AG29" s="17" t="n">
        <f aca="false">IF(AG21&gt;0,AG28/AG21,0)</f>
        <v>0.632020371966191</v>
      </c>
      <c r="AH29" s="17" t="n">
        <f aca="false">IF(AH21&gt;0,AH28/AH21,0)</f>
        <v>0.632691320264147</v>
      </c>
      <c r="AI29" s="17" t="n">
        <f aca="false">IF(AI21&gt;0,AI28/AI21,0)</f>
        <v>0.633254918163195</v>
      </c>
      <c r="AJ29" s="17" t="n">
        <f aca="false">IF(AJ21&gt;0,AJ28/AJ21,0)</f>
        <v>0.633734387884756</v>
      </c>
      <c r="AK29" s="17" t="n">
        <f aca="false">IF(AK21&gt;0,AK28/AK21,0)</f>
        <v>0.634146710696184</v>
      </c>
      <c r="AL29" s="17" t="n">
        <f aca="false">IF(AL21&gt;0,AL28/AL21,0)</f>
        <v>0.634504591847693</v>
      </c>
    </row>
    <row r="31" customFormat="false" ht="15" hidden="false" customHeight="false" outlineLevel="0" collapsed="false">
      <c r="A31" s="8" t="s">
        <v>189</v>
      </c>
      <c r="B31" s="8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</row>
    <row r="32" customFormat="false" ht="15" hidden="false" customHeight="false" outlineLevel="0" collapsed="false">
      <c r="A32" s="10" t="s">
        <v>21</v>
      </c>
      <c r="B32" s="27" t="s">
        <v>172</v>
      </c>
      <c r="C32" s="13" t="n">
        <f aca="false">الفريق!G22</f>
        <v>6500</v>
      </c>
      <c r="D32" s="13" t="n">
        <f aca="false">الفريق!H22</f>
        <v>10500</v>
      </c>
      <c r="E32" s="13" t="n">
        <f aca="false">الفريق!I22</f>
        <v>10500</v>
      </c>
      <c r="F32" s="13" t="n">
        <f aca="false">الفريق!J22</f>
        <v>10500</v>
      </c>
      <c r="G32" s="13" t="n">
        <f aca="false">الفريق!K22</f>
        <v>10500</v>
      </c>
      <c r="H32" s="13" t="n">
        <f aca="false">الفريق!L22</f>
        <v>10500</v>
      </c>
      <c r="I32" s="13" t="n">
        <f aca="false">الفريق!M22</f>
        <v>11700</v>
      </c>
      <c r="J32" s="13" t="n">
        <f aca="false">الفريق!N22</f>
        <v>11700</v>
      </c>
      <c r="K32" s="13" t="n">
        <f aca="false">الفريق!O22</f>
        <v>11700</v>
      </c>
      <c r="L32" s="13" t="n">
        <f aca="false">الفريق!P22</f>
        <v>11700</v>
      </c>
      <c r="M32" s="13" t="n">
        <f aca="false">الفريق!Q22</f>
        <v>16500</v>
      </c>
      <c r="N32" s="13" t="n">
        <f aca="false">الفريق!R22</f>
        <v>25500</v>
      </c>
      <c r="O32" s="13" t="n">
        <f aca="false">الفريق!S22</f>
        <v>35175</v>
      </c>
      <c r="P32" s="13" t="n">
        <f aca="false">الفريق!T22</f>
        <v>35175</v>
      </c>
      <c r="Q32" s="13" t="n">
        <f aca="false">الفريق!U22</f>
        <v>35175</v>
      </c>
      <c r="R32" s="13" t="n">
        <f aca="false">الفريق!V22</f>
        <v>35175</v>
      </c>
      <c r="S32" s="13" t="n">
        <f aca="false">الفريق!W22</f>
        <v>35175</v>
      </c>
      <c r="T32" s="13" t="n">
        <f aca="false">الفريق!X22</f>
        <v>35175</v>
      </c>
      <c r="U32" s="13" t="n">
        <f aca="false">الفريق!Y22</f>
        <v>35175</v>
      </c>
      <c r="V32" s="13" t="n">
        <f aca="false">الفريق!Z22</f>
        <v>35175</v>
      </c>
      <c r="W32" s="13" t="n">
        <f aca="false">الفريق!AA22</f>
        <v>35175</v>
      </c>
      <c r="X32" s="13" t="n">
        <f aca="false">الفريق!AB22</f>
        <v>35175</v>
      </c>
      <c r="Y32" s="13" t="n">
        <f aca="false">الفريق!AC22</f>
        <v>35175</v>
      </c>
      <c r="Z32" s="13" t="n">
        <f aca="false">الفريق!AD22</f>
        <v>35175</v>
      </c>
      <c r="AA32" s="13" t="n">
        <f aca="false">الفريق!AE22</f>
        <v>57881.25</v>
      </c>
      <c r="AB32" s="13" t="n">
        <f aca="false">الفريق!AF22</f>
        <v>57881.25</v>
      </c>
      <c r="AC32" s="13" t="n">
        <f aca="false">الفريق!AG22</f>
        <v>57881.25</v>
      </c>
      <c r="AD32" s="13" t="n">
        <f aca="false">الفريق!AH22</f>
        <v>57881.25</v>
      </c>
      <c r="AE32" s="13" t="n">
        <f aca="false">الفريق!AI22</f>
        <v>57881.25</v>
      </c>
      <c r="AF32" s="13" t="n">
        <f aca="false">الفريق!AJ22</f>
        <v>57881.25</v>
      </c>
      <c r="AG32" s="13" t="n">
        <f aca="false">الفريق!AK22</f>
        <v>57881.25</v>
      </c>
      <c r="AH32" s="13" t="n">
        <f aca="false">الفريق!AL22</f>
        <v>57881.25</v>
      </c>
      <c r="AI32" s="13" t="n">
        <f aca="false">الفريق!AM22</f>
        <v>57881.25</v>
      </c>
      <c r="AJ32" s="13" t="n">
        <f aca="false">الفريق!AN22</f>
        <v>57881.25</v>
      </c>
      <c r="AK32" s="13" t="n">
        <f aca="false">الفريق!AO22</f>
        <v>57881.25</v>
      </c>
      <c r="AL32" s="13" t="n">
        <f aca="false">الفريق!AP22</f>
        <v>57881.25</v>
      </c>
    </row>
    <row r="33" customFormat="false" ht="15" hidden="false" customHeight="false" outlineLevel="0" collapsed="false">
      <c r="A33" s="10" t="s">
        <v>22</v>
      </c>
      <c r="B33" s="27" t="s">
        <v>172</v>
      </c>
      <c r="C33" s="14" t="n">
        <f aca="false">C9</f>
        <v>300</v>
      </c>
      <c r="D33" s="14" t="n">
        <f aca="false">D9</f>
        <v>300</v>
      </c>
      <c r="E33" s="14" t="n">
        <f aca="false">E9</f>
        <v>300</v>
      </c>
      <c r="F33" s="14" t="n">
        <f aca="false">F9</f>
        <v>300</v>
      </c>
      <c r="G33" s="14" t="n">
        <f aca="false">G9</f>
        <v>300</v>
      </c>
      <c r="H33" s="14" t="n">
        <f aca="false">H9</f>
        <v>300</v>
      </c>
      <c r="I33" s="14" t="n">
        <f aca="false">I9</f>
        <v>300</v>
      </c>
      <c r="J33" s="14" t="n">
        <f aca="false">J9</f>
        <v>10000</v>
      </c>
      <c r="K33" s="14" t="n">
        <f aca="false">K9</f>
        <v>10000</v>
      </c>
      <c r="L33" s="14" t="n">
        <f aca="false">L9</f>
        <v>7500</v>
      </c>
      <c r="M33" s="14" t="n">
        <f aca="false">M9</f>
        <v>7500</v>
      </c>
      <c r="N33" s="14" t="n">
        <f aca="false">N9</f>
        <v>7500</v>
      </c>
      <c r="O33" s="14" t="n">
        <f aca="false">O9</f>
        <v>7500</v>
      </c>
      <c r="P33" s="14" t="n">
        <f aca="false">P9</f>
        <v>7500</v>
      </c>
      <c r="Q33" s="14" t="n">
        <f aca="false">Q9</f>
        <v>7500</v>
      </c>
      <c r="R33" s="14" t="n">
        <f aca="false">R9</f>
        <v>20000</v>
      </c>
      <c r="S33" s="14" t="n">
        <f aca="false">S9</f>
        <v>20000</v>
      </c>
      <c r="T33" s="14" t="n">
        <f aca="false">T9</f>
        <v>20000</v>
      </c>
      <c r="U33" s="14" t="n">
        <f aca="false">U9</f>
        <v>20000</v>
      </c>
      <c r="V33" s="14" t="n">
        <f aca="false">V9</f>
        <v>20000</v>
      </c>
      <c r="W33" s="14" t="n">
        <f aca="false">W9</f>
        <v>20000</v>
      </c>
      <c r="X33" s="14" t="n">
        <f aca="false">X9</f>
        <v>20000</v>
      </c>
      <c r="Y33" s="14" t="n">
        <f aca="false">Y9</f>
        <v>20000</v>
      </c>
      <c r="Z33" s="14" t="n">
        <f aca="false">Z9</f>
        <v>20000</v>
      </c>
      <c r="AA33" s="14" t="n">
        <f aca="false">AA9</f>
        <v>50000</v>
      </c>
      <c r="AB33" s="14" t="n">
        <f aca="false">AB9</f>
        <v>50000</v>
      </c>
      <c r="AC33" s="14" t="n">
        <f aca="false">AC9</f>
        <v>50000</v>
      </c>
      <c r="AD33" s="14" t="n">
        <f aca="false">AD9</f>
        <v>50000</v>
      </c>
      <c r="AE33" s="14" t="n">
        <f aca="false">AE9</f>
        <v>50000</v>
      </c>
      <c r="AF33" s="14" t="n">
        <f aca="false">AF9</f>
        <v>50000</v>
      </c>
      <c r="AG33" s="14" t="n">
        <f aca="false">AG9</f>
        <v>50000</v>
      </c>
      <c r="AH33" s="14" t="n">
        <f aca="false">AH9</f>
        <v>50000</v>
      </c>
      <c r="AI33" s="14" t="n">
        <f aca="false">AI9</f>
        <v>50000</v>
      </c>
      <c r="AJ33" s="14" t="n">
        <f aca="false">AJ9</f>
        <v>50000</v>
      </c>
      <c r="AK33" s="14" t="n">
        <f aca="false">AK9</f>
        <v>50000</v>
      </c>
      <c r="AL33" s="14" t="n">
        <f aca="false">AL9</f>
        <v>50000</v>
      </c>
    </row>
    <row r="34" customFormat="false" ht="15" hidden="false" customHeight="false" outlineLevel="0" collapsed="false">
      <c r="A34" s="10" t="s">
        <v>190</v>
      </c>
      <c r="B34" s="27" t="s">
        <v>172</v>
      </c>
      <c r="C34" s="14" t="n">
        <f aca="false">الافتراضات!$C$29+الفريق!G23*الافتراضات!$C$28</f>
        <v>800</v>
      </c>
      <c r="D34" s="14" t="n">
        <f aca="false">الافتراضات!$C$29+الفريق!H23*الافتراضات!$C$28</f>
        <v>950</v>
      </c>
      <c r="E34" s="14" t="n">
        <f aca="false">الافتراضات!$C$29+الفريق!I23*الافتراضات!$C$28</f>
        <v>950</v>
      </c>
      <c r="F34" s="14" t="n">
        <f aca="false">الافتراضات!$C$29+الفريق!J23*الافتراضات!$C$28</f>
        <v>950</v>
      </c>
      <c r="G34" s="14" t="n">
        <f aca="false">الافتراضات!$C$29+الفريق!K23*الافتراضات!$C$28</f>
        <v>950</v>
      </c>
      <c r="H34" s="14" t="n">
        <f aca="false">الافتراضات!$C$29+الفريق!L23*الافتراضات!$C$28</f>
        <v>950</v>
      </c>
      <c r="I34" s="14" t="n">
        <f aca="false">الافتراضات!$C$29+الفريق!M23*الافتراضات!$C$28</f>
        <v>1100</v>
      </c>
      <c r="J34" s="14" t="n">
        <f aca="false">الافتراضات!$C$29+الفريق!N23*الافتراضات!$C$28</f>
        <v>1100</v>
      </c>
      <c r="K34" s="14" t="n">
        <f aca="false">الافتراضات!$C$29+الفريق!O23*الافتراضات!$C$28</f>
        <v>1100</v>
      </c>
      <c r="L34" s="14" t="n">
        <f aca="false">الافتراضات!$C$29+الفريق!P23*الافتراضات!$C$28</f>
        <v>1100</v>
      </c>
      <c r="M34" s="14" t="n">
        <f aca="false">الافتراضات!$C$29+الفريق!Q23*الافتراضات!$C$28</f>
        <v>1250</v>
      </c>
      <c r="N34" s="14" t="n">
        <f aca="false">الافتراضات!$C$29+الفريق!R23*الافتراضات!$C$28</f>
        <v>1700</v>
      </c>
      <c r="O34" s="14" t="n">
        <f aca="false">الافتراضات!$C$29+الفريق!S23*الافتراضات!$C$28</f>
        <v>2000</v>
      </c>
      <c r="P34" s="14" t="n">
        <f aca="false">الافتراضات!$C$29+الفريق!T23*الافتراضات!$C$28</f>
        <v>2000</v>
      </c>
      <c r="Q34" s="14" t="n">
        <f aca="false">الافتراضات!$C$29+الفريق!U23*الافتراضات!$C$28</f>
        <v>2000</v>
      </c>
      <c r="R34" s="14" t="n">
        <f aca="false">الافتراضات!$C$29+الفريق!V23*الافتراضات!$C$28</f>
        <v>2000</v>
      </c>
      <c r="S34" s="14" t="n">
        <f aca="false">الافتراضات!$C$29+الفريق!W23*الافتراضات!$C$28</f>
        <v>2000</v>
      </c>
      <c r="T34" s="14" t="n">
        <f aca="false">الافتراضات!$C$29+الفريق!X23*الافتراضات!$C$28</f>
        <v>2000</v>
      </c>
      <c r="U34" s="14" t="n">
        <f aca="false">الافتراضات!$C$29+الفريق!Y23*الافتراضات!$C$28</f>
        <v>2000</v>
      </c>
      <c r="V34" s="14" t="n">
        <f aca="false">الافتراضات!$C$29+الفريق!Z23*الافتراضات!$C$28</f>
        <v>2000</v>
      </c>
      <c r="W34" s="14" t="n">
        <f aca="false">الافتراضات!$C$29+الفريق!AA23*الافتراضات!$C$28</f>
        <v>2000</v>
      </c>
      <c r="X34" s="14" t="n">
        <f aca="false">الافتراضات!$C$29+الفريق!AB23*الافتراضات!$C$28</f>
        <v>2000</v>
      </c>
      <c r="Y34" s="14" t="n">
        <f aca="false">الافتراضات!$C$29+الفريق!AC23*الافتراضات!$C$28</f>
        <v>2000</v>
      </c>
      <c r="Z34" s="14" t="n">
        <f aca="false">الافتراضات!$C$29+الفريق!AD23*الافتراضات!$C$28</f>
        <v>2000</v>
      </c>
      <c r="AA34" s="14" t="n">
        <f aca="false">الافتراضات!$C$29+الفريق!AE23*الافتراضات!$C$28</f>
        <v>2750</v>
      </c>
      <c r="AB34" s="14" t="n">
        <f aca="false">الافتراضات!$C$29+الفريق!AF23*الافتراضات!$C$28</f>
        <v>2750</v>
      </c>
      <c r="AC34" s="14" t="n">
        <f aca="false">الافتراضات!$C$29+الفريق!AG23*الافتراضات!$C$28</f>
        <v>2750</v>
      </c>
      <c r="AD34" s="14" t="n">
        <f aca="false">الافتراضات!$C$29+الفريق!AH23*الافتراضات!$C$28</f>
        <v>2750</v>
      </c>
      <c r="AE34" s="14" t="n">
        <f aca="false">الافتراضات!$C$29+الفريق!AI23*الافتراضات!$C$28</f>
        <v>2750</v>
      </c>
      <c r="AF34" s="14" t="n">
        <f aca="false">الافتراضات!$C$29+الفريق!AJ23*الافتراضات!$C$28</f>
        <v>2750</v>
      </c>
      <c r="AG34" s="14" t="n">
        <f aca="false">الافتراضات!$C$29+الفريق!AK23*الافتراضات!$C$28</f>
        <v>2750</v>
      </c>
      <c r="AH34" s="14" t="n">
        <f aca="false">الافتراضات!$C$29+الفريق!AL23*الافتراضات!$C$28</f>
        <v>2750</v>
      </c>
      <c r="AI34" s="14" t="n">
        <f aca="false">الافتراضات!$C$29+الفريق!AM23*الافتراضات!$C$28</f>
        <v>2750</v>
      </c>
      <c r="AJ34" s="14" t="n">
        <f aca="false">الافتراضات!$C$29+الفريق!AN23*الافتراضات!$C$28</f>
        <v>2750</v>
      </c>
      <c r="AK34" s="14" t="n">
        <f aca="false">الافتراضات!$C$29+الفريق!AO23*الافتراضات!$C$28</f>
        <v>2750</v>
      </c>
      <c r="AL34" s="14" t="n">
        <f aca="false">الافتراضات!$C$29+الفريق!AP23*الافتراضات!$C$28</f>
        <v>2750</v>
      </c>
    </row>
    <row r="35" customFormat="false" ht="15" hidden="false" customHeight="false" outlineLevel="0" collapsed="false">
      <c r="A35" s="10" t="s">
        <v>191</v>
      </c>
      <c r="B35" s="27" t="s">
        <v>172</v>
      </c>
      <c r="C35" s="13" t="n">
        <f aca="false">SUMIF(الافتراضات!$C$44:$C$48,"&lt;="&amp;C$3,الافتراضات!$D$44:$D$48)</f>
        <v>1150</v>
      </c>
      <c r="D35" s="13" t="n">
        <f aca="false">SUMIF(الافتراضات!$C$44:$C$48,"&lt;="&amp;D$3,الافتراضات!$D$44:$D$48)</f>
        <v>1150</v>
      </c>
      <c r="E35" s="13" t="n">
        <f aca="false">SUMIF(الافتراضات!$C$44:$C$48,"&lt;="&amp;E$3,الافتراضات!$D$44:$D$48)</f>
        <v>1150</v>
      </c>
      <c r="F35" s="13" t="n">
        <f aca="false">SUMIF(الافتراضات!$C$44:$C$48,"&lt;="&amp;F$3,الافتراضات!$D$44:$D$48)</f>
        <v>1150</v>
      </c>
      <c r="G35" s="13" t="n">
        <f aca="false">SUMIF(الافتراضات!$C$44:$C$48,"&lt;="&amp;G$3,الافتراضات!$D$44:$D$48)</f>
        <v>1150</v>
      </c>
      <c r="H35" s="13" t="n">
        <f aca="false">SUMIF(الافتراضات!$C$44:$C$48,"&lt;="&amp;H$3,الافتراضات!$D$44:$D$48)</f>
        <v>1150</v>
      </c>
      <c r="I35" s="13" t="n">
        <f aca="false">SUMIF(الافتراضات!$C$44:$C$48,"&lt;="&amp;I$3,الافتراضات!$D$44:$D$48)</f>
        <v>1150</v>
      </c>
      <c r="J35" s="13" t="n">
        <f aca="false">SUMIF(الافتراضات!$C$44:$C$48,"&lt;="&amp;J$3,الافتراضات!$D$44:$D$48)</f>
        <v>1150</v>
      </c>
      <c r="K35" s="13" t="n">
        <f aca="false">SUMIF(الافتراضات!$C$44:$C$48,"&lt;="&amp;K$3,الافتراضات!$D$44:$D$48)</f>
        <v>1150</v>
      </c>
      <c r="L35" s="13" t="n">
        <f aca="false">SUMIF(الافتراضات!$C$44:$C$48,"&lt;="&amp;L$3,الافتراضات!$D$44:$D$48)</f>
        <v>1150</v>
      </c>
      <c r="M35" s="13" t="n">
        <f aca="false">SUMIF(الافتراضات!$C$44:$C$48,"&lt;="&amp;M$3,الافتراضات!$D$44:$D$48)</f>
        <v>1150</v>
      </c>
      <c r="N35" s="13" t="n">
        <f aca="false">SUMIF(الافتراضات!$C$44:$C$48,"&lt;="&amp;N$3,الافتراضات!$D$44:$D$48)</f>
        <v>2050</v>
      </c>
      <c r="O35" s="13" t="n">
        <f aca="false">SUMIF(الافتراضات!$C$44:$C$48,"&lt;="&amp;O$3,الافتراضات!$D$44:$D$48)</f>
        <v>2050</v>
      </c>
      <c r="P35" s="13" t="n">
        <f aca="false">SUMIF(الافتراضات!$C$44:$C$48,"&lt;="&amp;P$3,الافتراضات!$D$44:$D$48)</f>
        <v>2050</v>
      </c>
      <c r="Q35" s="13" t="n">
        <f aca="false">SUMIF(الافتراضات!$C$44:$C$48,"&lt;="&amp;Q$3,الافتراضات!$D$44:$D$48)</f>
        <v>2050</v>
      </c>
      <c r="R35" s="13" t="n">
        <f aca="false">SUMIF(الافتراضات!$C$44:$C$48,"&lt;="&amp;R$3,الافتراضات!$D$44:$D$48)</f>
        <v>2050</v>
      </c>
      <c r="S35" s="13" t="n">
        <f aca="false">SUMIF(الافتراضات!$C$44:$C$48,"&lt;="&amp;S$3,الافتراضات!$D$44:$D$48)</f>
        <v>2050</v>
      </c>
      <c r="T35" s="13" t="n">
        <f aca="false">SUMIF(الافتراضات!$C$44:$C$48,"&lt;="&amp;T$3,الافتراضات!$D$44:$D$48)</f>
        <v>2050</v>
      </c>
      <c r="U35" s="13" t="n">
        <f aca="false">SUMIF(الافتراضات!$C$44:$C$48,"&lt;="&amp;U$3,الافتراضات!$D$44:$D$48)</f>
        <v>2050</v>
      </c>
      <c r="V35" s="13" t="n">
        <f aca="false">SUMIF(الافتراضات!$C$44:$C$48,"&lt;="&amp;V$3,الافتراضات!$D$44:$D$48)</f>
        <v>2050</v>
      </c>
      <c r="W35" s="13" t="n">
        <f aca="false">SUMIF(الافتراضات!$C$44:$C$48,"&lt;="&amp;W$3,الافتراضات!$D$44:$D$48)</f>
        <v>2050</v>
      </c>
      <c r="X35" s="13" t="n">
        <f aca="false">SUMIF(الافتراضات!$C$44:$C$48,"&lt;="&amp;X$3,الافتراضات!$D$44:$D$48)</f>
        <v>2050</v>
      </c>
      <c r="Y35" s="13" t="n">
        <f aca="false">SUMIF(الافتراضات!$C$44:$C$48,"&lt;="&amp;Y$3,الافتراضات!$D$44:$D$48)</f>
        <v>2050</v>
      </c>
      <c r="Z35" s="13" t="n">
        <f aca="false">SUMIF(الافتراضات!$C$44:$C$48,"&lt;="&amp;Z$3,الافتراضات!$D$44:$D$48)</f>
        <v>2050</v>
      </c>
      <c r="AA35" s="13" t="n">
        <f aca="false">SUMIF(الافتراضات!$C$44:$C$48,"&lt;="&amp;AA$3,الافتراضات!$D$44:$D$48)</f>
        <v>2050</v>
      </c>
      <c r="AB35" s="13" t="n">
        <f aca="false">SUMIF(الافتراضات!$C$44:$C$48,"&lt;="&amp;AB$3,الافتراضات!$D$44:$D$48)</f>
        <v>2050</v>
      </c>
      <c r="AC35" s="13" t="n">
        <f aca="false">SUMIF(الافتراضات!$C$44:$C$48,"&lt;="&amp;AC$3,الافتراضات!$D$44:$D$48)</f>
        <v>2050</v>
      </c>
      <c r="AD35" s="13" t="n">
        <f aca="false">SUMIF(الافتراضات!$C$44:$C$48,"&lt;="&amp;AD$3,الافتراضات!$D$44:$D$48)</f>
        <v>2050</v>
      </c>
      <c r="AE35" s="13" t="n">
        <f aca="false">SUMIF(الافتراضات!$C$44:$C$48,"&lt;="&amp;AE$3,الافتراضات!$D$44:$D$48)</f>
        <v>2050</v>
      </c>
      <c r="AF35" s="13" t="n">
        <f aca="false">SUMIF(الافتراضات!$C$44:$C$48,"&lt;="&amp;AF$3,الافتراضات!$D$44:$D$48)</f>
        <v>2050</v>
      </c>
      <c r="AG35" s="13" t="n">
        <f aca="false">SUMIF(الافتراضات!$C$44:$C$48,"&lt;="&amp;AG$3,الافتراضات!$D$44:$D$48)</f>
        <v>2050</v>
      </c>
      <c r="AH35" s="13" t="n">
        <f aca="false">SUMIF(الافتراضات!$C$44:$C$48,"&lt;="&amp;AH$3,الافتراضات!$D$44:$D$48)</f>
        <v>2050</v>
      </c>
      <c r="AI35" s="13" t="n">
        <f aca="false">SUMIF(الافتراضات!$C$44:$C$48,"&lt;="&amp;AI$3,الافتراضات!$D$44:$D$48)</f>
        <v>2050</v>
      </c>
      <c r="AJ35" s="13" t="n">
        <f aca="false">SUMIF(الافتراضات!$C$44:$C$48,"&lt;="&amp;AJ$3,الافتراضات!$D$44:$D$48)</f>
        <v>2050</v>
      </c>
      <c r="AK35" s="13" t="n">
        <f aca="false">SUMIF(الافتراضات!$C$44:$C$48,"&lt;="&amp;AK$3,الافتراضات!$D$44:$D$48)</f>
        <v>2050</v>
      </c>
      <c r="AL35" s="13" t="n">
        <f aca="false">SUMIF(الافتراضات!$C$44:$C$48,"&lt;="&amp;AL$3,الافتراضات!$D$44:$D$48)</f>
        <v>2050</v>
      </c>
    </row>
    <row r="36" customFormat="false" ht="15" hidden="false" customHeight="false" outlineLevel="0" collapsed="false">
      <c r="A36" s="10" t="s">
        <v>192</v>
      </c>
      <c r="B36" s="27" t="s">
        <v>172</v>
      </c>
      <c r="C36" s="13" t="n">
        <f aca="false">SUMIF(الافتراضات!$C$52:$C$57,C$3,الافتراضات!$D$52:$D$57)</f>
        <v>14000</v>
      </c>
      <c r="D36" s="13" t="n">
        <f aca="false">SUMIF(الافتراضات!$C$52:$C$57,D$3,الافتراضات!$D$52:$D$57)</f>
        <v>0</v>
      </c>
      <c r="E36" s="13" t="n">
        <f aca="false">SUMIF(الافتراضات!$C$52:$C$57,E$3,الافتراضات!$D$52:$D$57)</f>
        <v>0</v>
      </c>
      <c r="F36" s="13" t="n">
        <f aca="false">SUMIF(الافتراضات!$C$52:$C$57,F$3,الافتراضات!$D$52:$D$57)</f>
        <v>0</v>
      </c>
      <c r="G36" s="13" t="n">
        <f aca="false">SUMIF(الافتراضات!$C$52:$C$57,G$3,الافتراضات!$D$52:$D$57)</f>
        <v>0</v>
      </c>
      <c r="H36" s="13" t="n">
        <f aca="false">SUMIF(الافتراضات!$C$52:$C$57,H$3,الافتراضات!$D$52:$D$57)</f>
        <v>0</v>
      </c>
      <c r="I36" s="13" t="n">
        <f aca="false">SUMIF(الافتراضات!$C$52:$C$57,I$3,الافتراضات!$D$52:$D$57)</f>
        <v>2000</v>
      </c>
      <c r="J36" s="13" t="n">
        <f aca="false">SUMIF(الافتراضات!$C$52:$C$57,J$3,الافتراضات!$D$52:$D$57)</f>
        <v>0</v>
      </c>
      <c r="K36" s="13" t="n">
        <f aca="false">SUMIF(الافتراضات!$C$52:$C$57,K$3,الافتراضات!$D$52:$D$57)</f>
        <v>0</v>
      </c>
      <c r="L36" s="13" t="n">
        <f aca="false">SUMIF(الافتراضات!$C$52:$C$57,L$3,الافتراضات!$D$52:$D$57)</f>
        <v>0</v>
      </c>
      <c r="M36" s="13" t="n">
        <f aca="false">SUMIF(الافتراضات!$C$52:$C$57,M$3,الافتراضات!$D$52:$D$57)</f>
        <v>0</v>
      </c>
      <c r="N36" s="13" t="n">
        <f aca="false">SUMIF(الافتراضات!$C$52:$C$57,N$3,الافتراضات!$D$52:$D$57)</f>
        <v>5000</v>
      </c>
      <c r="O36" s="13" t="n">
        <f aca="false">SUMIF(الافتراضات!$C$52:$C$57,O$3,الافتراضات!$D$52:$D$57)</f>
        <v>0</v>
      </c>
      <c r="P36" s="13" t="n">
        <f aca="false">SUMIF(الافتراضات!$C$52:$C$57,P$3,الافتراضات!$D$52:$D$57)</f>
        <v>0</v>
      </c>
      <c r="Q36" s="13" t="n">
        <f aca="false">SUMIF(الافتراضات!$C$52:$C$57,Q$3,الافتراضات!$D$52:$D$57)</f>
        <v>0</v>
      </c>
      <c r="R36" s="13" t="n">
        <f aca="false">SUMIF(الافتراضات!$C$52:$C$57,R$3,الافتراضات!$D$52:$D$57)</f>
        <v>0</v>
      </c>
      <c r="S36" s="13" t="n">
        <f aca="false">SUMIF(الافتراضات!$C$52:$C$57,S$3,الافتراضات!$D$52:$D$57)</f>
        <v>0</v>
      </c>
      <c r="T36" s="13" t="n">
        <f aca="false">SUMIF(الافتراضات!$C$52:$C$57,T$3,الافتراضات!$D$52:$D$57)</f>
        <v>0</v>
      </c>
      <c r="U36" s="13" t="n">
        <f aca="false">SUMIF(الافتراضات!$C$52:$C$57,U$3,الافتراضات!$D$52:$D$57)</f>
        <v>0</v>
      </c>
      <c r="V36" s="13" t="n">
        <f aca="false">SUMIF(الافتراضات!$C$52:$C$57,V$3,الافتراضات!$D$52:$D$57)</f>
        <v>0</v>
      </c>
      <c r="W36" s="13" t="n">
        <f aca="false">SUMIF(الافتراضات!$C$52:$C$57,W$3,الافتراضات!$D$52:$D$57)</f>
        <v>0</v>
      </c>
      <c r="X36" s="13" t="n">
        <f aca="false">SUMIF(الافتراضات!$C$52:$C$57,X$3,الافتراضات!$D$52:$D$57)</f>
        <v>0</v>
      </c>
      <c r="Y36" s="13" t="n">
        <f aca="false">SUMIF(الافتراضات!$C$52:$C$57,Y$3,الافتراضات!$D$52:$D$57)</f>
        <v>0</v>
      </c>
      <c r="Z36" s="13" t="n">
        <f aca="false">SUMIF(الافتراضات!$C$52:$C$57,Z$3,الافتراضات!$D$52:$D$57)</f>
        <v>5000</v>
      </c>
      <c r="AA36" s="13" t="n">
        <f aca="false">SUMIF(الافتراضات!$C$52:$C$57,AA$3,الافتراضات!$D$52:$D$57)</f>
        <v>0</v>
      </c>
      <c r="AB36" s="13" t="n">
        <f aca="false">SUMIF(الافتراضات!$C$52:$C$57,AB$3,الافتراضات!$D$52:$D$57)</f>
        <v>0</v>
      </c>
      <c r="AC36" s="13" t="n">
        <f aca="false">SUMIF(الافتراضات!$C$52:$C$57,AC$3,الافتراضات!$D$52:$D$57)</f>
        <v>0</v>
      </c>
      <c r="AD36" s="13" t="n">
        <f aca="false">SUMIF(الافتراضات!$C$52:$C$57,AD$3,الافتراضات!$D$52:$D$57)</f>
        <v>0</v>
      </c>
      <c r="AE36" s="13" t="n">
        <f aca="false">SUMIF(الافتراضات!$C$52:$C$57,AE$3,الافتراضات!$D$52:$D$57)</f>
        <v>0</v>
      </c>
      <c r="AF36" s="13" t="n">
        <f aca="false">SUMIF(الافتراضات!$C$52:$C$57,AF$3,الافتراضات!$D$52:$D$57)</f>
        <v>0</v>
      </c>
      <c r="AG36" s="13" t="n">
        <f aca="false">SUMIF(الافتراضات!$C$52:$C$57,AG$3,الافتراضات!$D$52:$D$57)</f>
        <v>0</v>
      </c>
      <c r="AH36" s="13" t="n">
        <f aca="false">SUMIF(الافتراضات!$C$52:$C$57,AH$3,الافتراضات!$D$52:$D$57)</f>
        <v>0</v>
      </c>
      <c r="AI36" s="13" t="n">
        <f aca="false">SUMIF(الافتراضات!$C$52:$C$57,AI$3,الافتراضات!$D$52:$D$57)</f>
        <v>0</v>
      </c>
      <c r="AJ36" s="13" t="n">
        <f aca="false">SUMIF(الافتراضات!$C$52:$C$57,AJ$3,الافتراضات!$D$52:$D$57)</f>
        <v>0</v>
      </c>
      <c r="AK36" s="13" t="n">
        <f aca="false">SUMIF(الافتراضات!$C$52:$C$57,AK$3,الافتراضات!$D$52:$D$57)</f>
        <v>0</v>
      </c>
      <c r="AL36" s="13" t="n">
        <f aca="false">SUMIF(الافتراضات!$C$52:$C$57,AL$3,الافتراضات!$D$52:$D$57)</f>
        <v>0</v>
      </c>
    </row>
    <row r="37" customFormat="false" ht="15" hidden="false" customHeight="false" outlineLevel="0" collapsed="false">
      <c r="A37" s="10" t="s">
        <v>193</v>
      </c>
      <c r="B37" s="27" t="s">
        <v>172</v>
      </c>
      <c r="C37" s="14" t="n">
        <f aca="false">(C32+C34+C35+C36)*الافتراضات!$C$30</f>
        <v>2245</v>
      </c>
      <c r="D37" s="14" t="n">
        <f aca="false">(D32+D34+D35+D36)*الافتراضات!$C$30</f>
        <v>1260</v>
      </c>
      <c r="E37" s="14" t="n">
        <f aca="false">(E32+E34+E35+E36)*الافتراضات!$C$30</f>
        <v>1260</v>
      </c>
      <c r="F37" s="14" t="n">
        <f aca="false">(F32+F34+F35+F36)*الافتراضات!$C$30</f>
        <v>1260</v>
      </c>
      <c r="G37" s="14" t="n">
        <f aca="false">(G32+G34+G35+G36)*الافتراضات!$C$30</f>
        <v>1260</v>
      </c>
      <c r="H37" s="14" t="n">
        <f aca="false">(H32+H34+H35+H36)*الافتراضات!$C$30</f>
        <v>1260</v>
      </c>
      <c r="I37" s="14" t="n">
        <f aca="false">(I32+I34+I35+I36)*الافتراضات!$C$30</f>
        <v>1595</v>
      </c>
      <c r="J37" s="14" t="n">
        <f aca="false">(J32+J34+J35+J36)*الافتراضات!$C$30</f>
        <v>1395</v>
      </c>
      <c r="K37" s="14" t="n">
        <f aca="false">(K32+K34+K35+K36)*الافتراضات!$C$30</f>
        <v>1395</v>
      </c>
      <c r="L37" s="14" t="n">
        <f aca="false">(L32+L34+L35+L36)*الافتراضات!$C$30</f>
        <v>1395</v>
      </c>
      <c r="M37" s="14" t="n">
        <f aca="false">(M32+M34+M35+M36)*الافتراضات!$C$30</f>
        <v>1890</v>
      </c>
      <c r="N37" s="14" t="n">
        <f aca="false">(N32+N34+N35+N36)*الافتراضات!$C$30</f>
        <v>3425</v>
      </c>
      <c r="O37" s="14" t="n">
        <f aca="false">(O32+O34+O35+O36)*الافتراضات!$C$30</f>
        <v>3922.5</v>
      </c>
      <c r="P37" s="14" t="n">
        <f aca="false">(P32+P34+P35+P36)*الافتراضات!$C$30</f>
        <v>3922.5</v>
      </c>
      <c r="Q37" s="14" t="n">
        <f aca="false">(Q32+Q34+Q35+Q36)*الافتراضات!$C$30</f>
        <v>3922.5</v>
      </c>
      <c r="R37" s="14" t="n">
        <f aca="false">(R32+R34+R35+R36)*الافتراضات!$C$30</f>
        <v>3922.5</v>
      </c>
      <c r="S37" s="14" t="n">
        <f aca="false">(S32+S34+S35+S36)*الافتراضات!$C$30</f>
        <v>3922.5</v>
      </c>
      <c r="T37" s="14" t="n">
        <f aca="false">(T32+T34+T35+T36)*الافتراضات!$C$30</f>
        <v>3922.5</v>
      </c>
      <c r="U37" s="14" t="n">
        <f aca="false">(U32+U34+U35+U36)*الافتراضات!$C$30</f>
        <v>3922.5</v>
      </c>
      <c r="V37" s="14" t="n">
        <f aca="false">(V32+V34+V35+V36)*الافتراضات!$C$30</f>
        <v>3922.5</v>
      </c>
      <c r="W37" s="14" t="n">
        <f aca="false">(W32+W34+W35+W36)*الافتراضات!$C$30</f>
        <v>3922.5</v>
      </c>
      <c r="X37" s="14" t="n">
        <f aca="false">(X32+X34+X35+X36)*الافتراضات!$C$30</f>
        <v>3922.5</v>
      </c>
      <c r="Y37" s="14" t="n">
        <f aca="false">(Y32+Y34+Y35+Y36)*الافتراضات!$C$30</f>
        <v>3922.5</v>
      </c>
      <c r="Z37" s="14" t="n">
        <f aca="false">(Z32+Z34+Z35+Z36)*الافتراضات!$C$30</f>
        <v>4422.5</v>
      </c>
      <c r="AA37" s="14" t="n">
        <f aca="false">(AA32+AA34+AA35+AA36)*الافتراضات!$C$30</f>
        <v>6268.125</v>
      </c>
      <c r="AB37" s="14" t="n">
        <f aca="false">(AB32+AB34+AB35+AB36)*الافتراضات!$C$30</f>
        <v>6268.125</v>
      </c>
      <c r="AC37" s="14" t="n">
        <f aca="false">(AC32+AC34+AC35+AC36)*الافتراضات!$C$30</f>
        <v>6268.125</v>
      </c>
      <c r="AD37" s="14" t="n">
        <f aca="false">(AD32+AD34+AD35+AD36)*الافتراضات!$C$30</f>
        <v>6268.125</v>
      </c>
      <c r="AE37" s="14" t="n">
        <f aca="false">(AE32+AE34+AE35+AE36)*الافتراضات!$C$30</f>
        <v>6268.125</v>
      </c>
      <c r="AF37" s="14" t="n">
        <f aca="false">(AF32+AF34+AF35+AF36)*الافتراضات!$C$30</f>
        <v>6268.125</v>
      </c>
      <c r="AG37" s="14" t="n">
        <f aca="false">(AG32+AG34+AG35+AG36)*الافتراضات!$C$30</f>
        <v>6268.125</v>
      </c>
      <c r="AH37" s="14" t="n">
        <f aca="false">(AH32+AH34+AH35+AH36)*الافتراضات!$C$30</f>
        <v>6268.125</v>
      </c>
      <c r="AI37" s="14" t="n">
        <f aca="false">(AI32+AI34+AI35+AI36)*الافتراضات!$C$30</f>
        <v>6268.125</v>
      </c>
      <c r="AJ37" s="14" t="n">
        <f aca="false">(AJ32+AJ34+AJ35+AJ36)*الافتراضات!$C$30</f>
        <v>6268.125</v>
      </c>
      <c r="AK37" s="14" t="n">
        <f aca="false">(AK32+AK34+AK35+AK36)*الافتراضات!$C$30</f>
        <v>6268.125</v>
      </c>
      <c r="AL37" s="14" t="n">
        <f aca="false">(AL32+AL34+AL35+AL36)*الافتراضات!$C$30</f>
        <v>6268.125</v>
      </c>
    </row>
    <row r="38" customFormat="false" ht="15" hidden="false" customHeight="false" outlineLevel="0" collapsed="false">
      <c r="A38" s="40" t="s">
        <v>24</v>
      </c>
      <c r="B38" s="27" t="s">
        <v>172</v>
      </c>
      <c r="C38" s="46" t="n">
        <f aca="false">SUM(C32:C37)</f>
        <v>24995</v>
      </c>
      <c r="D38" s="46" t="n">
        <f aca="false">SUM(D32:D37)</f>
        <v>14160</v>
      </c>
      <c r="E38" s="46" t="n">
        <f aca="false">SUM(E32:E37)</f>
        <v>14160</v>
      </c>
      <c r="F38" s="46" t="n">
        <f aca="false">SUM(F32:F37)</f>
        <v>14160</v>
      </c>
      <c r="G38" s="46" t="n">
        <f aca="false">SUM(G32:G37)</f>
        <v>14160</v>
      </c>
      <c r="H38" s="46" t="n">
        <f aca="false">SUM(H32:H37)</f>
        <v>14160</v>
      </c>
      <c r="I38" s="46" t="n">
        <f aca="false">SUM(I32:I37)</f>
        <v>17845</v>
      </c>
      <c r="J38" s="46" t="n">
        <f aca="false">SUM(J32:J37)</f>
        <v>25345</v>
      </c>
      <c r="K38" s="46" t="n">
        <f aca="false">SUM(K32:K37)</f>
        <v>25345</v>
      </c>
      <c r="L38" s="46" t="n">
        <f aca="false">SUM(L32:L37)</f>
        <v>22845</v>
      </c>
      <c r="M38" s="46" t="n">
        <f aca="false">SUM(M32:M37)</f>
        <v>28290</v>
      </c>
      <c r="N38" s="46" t="n">
        <f aca="false">SUM(N32:N37)</f>
        <v>45175</v>
      </c>
      <c r="O38" s="46" t="n">
        <f aca="false">SUM(O32:O37)</f>
        <v>50647.5</v>
      </c>
      <c r="P38" s="46" t="n">
        <f aca="false">SUM(P32:P37)</f>
        <v>50647.5</v>
      </c>
      <c r="Q38" s="46" t="n">
        <f aca="false">SUM(Q32:Q37)</f>
        <v>50647.5</v>
      </c>
      <c r="R38" s="46" t="n">
        <f aca="false">SUM(R32:R37)</f>
        <v>63147.5</v>
      </c>
      <c r="S38" s="46" t="n">
        <f aca="false">SUM(S32:S37)</f>
        <v>63147.5</v>
      </c>
      <c r="T38" s="46" t="n">
        <f aca="false">SUM(T32:T37)</f>
        <v>63147.5</v>
      </c>
      <c r="U38" s="46" t="n">
        <f aca="false">SUM(U32:U37)</f>
        <v>63147.5</v>
      </c>
      <c r="V38" s="46" t="n">
        <f aca="false">SUM(V32:V37)</f>
        <v>63147.5</v>
      </c>
      <c r="W38" s="46" t="n">
        <f aca="false">SUM(W32:W37)</f>
        <v>63147.5</v>
      </c>
      <c r="X38" s="46" t="n">
        <f aca="false">SUM(X32:X37)</f>
        <v>63147.5</v>
      </c>
      <c r="Y38" s="46" t="n">
        <f aca="false">SUM(Y32:Y37)</f>
        <v>63147.5</v>
      </c>
      <c r="Z38" s="46" t="n">
        <f aca="false">SUM(Z32:Z37)</f>
        <v>68647.5</v>
      </c>
      <c r="AA38" s="46" t="n">
        <f aca="false">SUM(AA32:AA37)</f>
        <v>118949.375</v>
      </c>
      <c r="AB38" s="46" t="n">
        <f aca="false">SUM(AB32:AB37)</f>
        <v>118949.375</v>
      </c>
      <c r="AC38" s="46" t="n">
        <f aca="false">SUM(AC32:AC37)</f>
        <v>118949.375</v>
      </c>
      <c r="AD38" s="46" t="n">
        <f aca="false">SUM(AD32:AD37)</f>
        <v>118949.375</v>
      </c>
      <c r="AE38" s="46" t="n">
        <f aca="false">SUM(AE32:AE37)</f>
        <v>118949.375</v>
      </c>
      <c r="AF38" s="46" t="n">
        <f aca="false">SUM(AF32:AF37)</f>
        <v>118949.375</v>
      </c>
      <c r="AG38" s="46" t="n">
        <f aca="false">SUM(AG32:AG37)</f>
        <v>118949.375</v>
      </c>
      <c r="AH38" s="46" t="n">
        <f aca="false">SUM(AH32:AH37)</f>
        <v>118949.375</v>
      </c>
      <c r="AI38" s="46" t="n">
        <f aca="false">SUM(AI32:AI37)</f>
        <v>118949.375</v>
      </c>
      <c r="AJ38" s="46" t="n">
        <f aca="false">SUM(AJ32:AJ37)</f>
        <v>118949.375</v>
      </c>
      <c r="AK38" s="46" t="n">
        <f aca="false">SUM(AK32:AK37)</f>
        <v>118949.375</v>
      </c>
      <c r="AL38" s="46" t="n">
        <f aca="false">SUM(AL32:AL37)</f>
        <v>118949.375</v>
      </c>
    </row>
    <row r="39" customFormat="false" ht="15" hidden="false" customHeight="false" outlineLevel="0" collapsed="false">
      <c r="A39" s="40" t="s">
        <v>25</v>
      </c>
      <c r="B39" s="27" t="s">
        <v>172</v>
      </c>
      <c r="C39" s="46" t="n">
        <f aca="false">C28-C38</f>
        <v>-25295</v>
      </c>
      <c r="D39" s="46" t="n">
        <f aca="false">D28-D38</f>
        <v>-14460</v>
      </c>
      <c r="E39" s="46" t="n">
        <f aca="false">E28-E38</f>
        <v>-14460</v>
      </c>
      <c r="F39" s="46" t="n">
        <f aca="false">F28-F38</f>
        <v>-14460</v>
      </c>
      <c r="G39" s="46" t="n">
        <f aca="false">G28-G38</f>
        <v>-14460</v>
      </c>
      <c r="H39" s="46" t="n">
        <f aca="false">H28-H38</f>
        <v>-14460</v>
      </c>
      <c r="I39" s="46" t="n">
        <f aca="false">I28-I38</f>
        <v>-18145</v>
      </c>
      <c r="J39" s="46" t="n">
        <f aca="false">J28-J38</f>
        <v>-25365</v>
      </c>
      <c r="K39" s="46" t="n">
        <f aca="false">K28-K38</f>
        <v>-25099.56</v>
      </c>
      <c r="L39" s="46" t="n">
        <f aca="false">L28-L38</f>
        <v>-22054.38432</v>
      </c>
      <c r="M39" s="46" t="n">
        <f aca="false">M28-M38</f>
        <v>-27241.09633536</v>
      </c>
      <c r="N39" s="46" t="n">
        <f aca="false">N28-N38</f>
        <v>-43881.2393259213</v>
      </c>
      <c r="O39" s="46" t="n">
        <f aca="false">O28-O38</f>
        <v>-49121.6148809734</v>
      </c>
      <c r="P39" s="46" t="n">
        <f aca="false">P28-P38</f>
        <v>-48901.5609071628</v>
      </c>
      <c r="Q39" s="46" t="n">
        <f aca="false">Q28-Q38</f>
        <v>-48692.9497399903</v>
      </c>
      <c r="R39" s="46" t="n">
        <f aca="false">R28-R38</f>
        <v>-60470.1863535108</v>
      </c>
      <c r="S39" s="46" t="n">
        <f aca="false">S28-S38</f>
        <v>-59785.0066631282</v>
      </c>
      <c r="T39" s="46" t="n">
        <f aca="false">T28-T38</f>
        <v>-59135.4563166456</v>
      </c>
      <c r="U39" s="46" t="n">
        <f aca="false">U28-U38</f>
        <v>-58519.68258818</v>
      </c>
      <c r="V39" s="46" t="n">
        <f aca="false">V28-V38</f>
        <v>-57935.9290935946</v>
      </c>
      <c r="W39" s="46" t="n">
        <f aca="false">W28-W38</f>
        <v>-57382.5307807277</v>
      </c>
      <c r="X39" s="46" t="n">
        <f aca="false">X28-X38</f>
        <v>-56857.9091801299</v>
      </c>
      <c r="Y39" s="46" t="n">
        <f aca="false">Y28-Y38</f>
        <v>-56360.5679027631</v>
      </c>
      <c r="Z39" s="46" t="n">
        <f aca="false">Z28-Z38</f>
        <v>-61389.0883718194</v>
      </c>
      <c r="AA39" s="46" t="n">
        <f aca="false">AA28-AA38</f>
        <v>-109984.000776485</v>
      </c>
      <c r="AB39" s="46" t="n">
        <f aca="false">AB28-AB38</f>
        <v>-108365.800236108</v>
      </c>
      <c r="AC39" s="46" t="n">
        <f aca="false">AC28-AC38</f>
        <v>-106831.74612383</v>
      </c>
      <c r="AD39" s="46" t="n">
        <f aca="false">AD28-AD38</f>
        <v>-105377.462825391</v>
      </c>
      <c r="AE39" s="46" t="n">
        <f aca="false">AE28-AE38</f>
        <v>-103998.802258471</v>
      </c>
      <c r="AF39" s="46" t="n">
        <f aca="false">AF28-AF38</f>
        <v>-102691.83204103</v>
      </c>
      <c r="AG39" s="46" t="n">
        <f aca="false">AG28-AG38</f>
        <v>-101452.824274897</v>
      </c>
      <c r="AH39" s="46" t="n">
        <f aca="false">AH28-AH38</f>
        <v>-100278.244912602</v>
      </c>
      <c r="AI39" s="46" t="n">
        <f aca="false">AI28-AI38</f>
        <v>-99164.7436771466</v>
      </c>
      <c r="AJ39" s="46" t="n">
        <f aca="false">AJ28-AJ38</f>
        <v>-98109.144505935</v>
      </c>
      <c r="AK39" s="46" t="n">
        <f aca="false">AK28-AK38</f>
        <v>-97108.4364916263</v>
      </c>
      <c r="AL39" s="46" t="n">
        <f aca="false">AL28-AL38</f>
        <v>-96159.7652940618</v>
      </c>
    </row>
    <row r="41" customFormat="false" ht="15" hidden="false" customHeight="false" outlineLevel="0" collapsed="false">
      <c r="A41" s="8" t="s">
        <v>194</v>
      </c>
      <c r="B41" s="8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</row>
    <row r="42" customFormat="false" ht="15" hidden="false" customHeight="false" outlineLevel="0" collapsed="false">
      <c r="A42" s="10" t="s">
        <v>27</v>
      </c>
      <c r="B42" s="27" t="s">
        <v>172</v>
      </c>
      <c r="C42" s="13" t="n">
        <f aca="false">SUMIF(الافتراضات!$C$61:$C$63,C$3,الافتراضات!$D$61:$D$63)</f>
        <v>200000</v>
      </c>
      <c r="D42" s="13" t="n">
        <f aca="false">SUMIF(الافتراضات!$C$61:$C$63,D$3,الافتراضات!$D$61:$D$63)</f>
        <v>0</v>
      </c>
      <c r="E42" s="13" t="n">
        <f aca="false">SUMIF(الافتراضات!$C$61:$C$63,E$3,الافتراضات!$D$61:$D$63)</f>
        <v>0</v>
      </c>
      <c r="F42" s="13" t="n">
        <f aca="false">SUMIF(الافتراضات!$C$61:$C$63,F$3,الافتراضات!$D$61:$D$63)</f>
        <v>0</v>
      </c>
      <c r="G42" s="13" t="n">
        <f aca="false">SUMIF(الافتراضات!$C$61:$C$63,G$3,الافتراضات!$D$61:$D$63)</f>
        <v>0</v>
      </c>
      <c r="H42" s="13" t="n">
        <f aca="false">SUMIF(الافتراضات!$C$61:$C$63,H$3,الافتراضات!$D$61:$D$63)</f>
        <v>0</v>
      </c>
      <c r="I42" s="13" t="n">
        <f aca="false">SUMIF(الافتراضات!$C$61:$C$63,I$3,الافتراضات!$D$61:$D$63)</f>
        <v>0</v>
      </c>
      <c r="J42" s="13" t="n">
        <f aca="false">SUMIF(الافتراضات!$C$61:$C$63,J$3,الافتراضات!$D$61:$D$63)</f>
        <v>0</v>
      </c>
      <c r="K42" s="13" t="n">
        <f aca="false">SUMIF(الافتراضات!$C$61:$C$63,K$3,الافتراضات!$D$61:$D$63)</f>
        <v>0</v>
      </c>
      <c r="L42" s="13" t="n">
        <f aca="false">SUMIF(الافتراضات!$C$61:$C$63,L$3,الافتراضات!$D$61:$D$63)</f>
        <v>0</v>
      </c>
      <c r="M42" s="13" t="n">
        <f aca="false">SUMIF(الافتراضات!$C$61:$C$63,M$3,الافتراضات!$D$61:$D$63)</f>
        <v>1000000</v>
      </c>
      <c r="N42" s="13" t="n">
        <f aca="false">SUMIF(الافتراضات!$C$61:$C$63,N$3,الافتراضات!$D$61:$D$63)</f>
        <v>0</v>
      </c>
      <c r="O42" s="13" t="n">
        <f aca="false">SUMIF(الافتراضات!$C$61:$C$63,O$3,الافتراضات!$D$61:$D$63)</f>
        <v>0</v>
      </c>
      <c r="P42" s="13" t="n">
        <f aca="false">SUMIF(الافتراضات!$C$61:$C$63,P$3,الافتراضات!$D$61:$D$63)</f>
        <v>0</v>
      </c>
      <c r="Q42" s="13" t="n">
        <f aca="false">SUMIF(الافتراضات!$C$61:$C$63,Q$3,الافتراضات!$D$61:$D$63)</f>
        <v>0</v>
      </c>
      <c r="R42" s="13" t="n">
        <f aca="false">SUMIF(الافتراضات!$C$61:$C$63,R$3,الافتراضات!$D$61:$D$63)</f>
        <v>0</v>
      </c>
      <c r="S42" s="13" t="n">
        <f aca="false">SUMIF(الافتراضات!$C$61:$C$63,S$3,الافتراضات!$D$61:$D$63)</f>
        <v>0</v>
      </c>
      <c r="T42" s="13" t="n">
        <f aca="false">SUMIF(الافتراضات!$C$61:$C$63,T$3,الافتراضات!$D$61:$D$63)</f>
        <v>0</v>
      </c>
      <c r="U42" s="13" t="n">
        <f aca="false">SUMIF(الافتراضات!$C$61:$C$63,U$3,الافتراضات!$D$61:$D$63)</f>
        <v>0</v>
      </c>
      <c r="V42" s="13" t="n">
        <f aca="false">SUMIF(الافتراضات!$C$61:$C$63,V$3,الافتراضات!$D$61:$D$63)</f>
        <v>0</v>
      </c>
      <c r="W42" s="13" t="n">
        <f aca="false">SUMIF(الافتراضات!$C$61:$C$63,W$3,الافتراضات!$D$61:$D$63)</f>
        <v>0</v>
      </c>
      <c r="X42" s="13" t="n">
        <f aca="false">SUMIF(الافتراضات!$C$61:$C$63,X$3,الافتراضات!$D$61:$D$63)</f>
        <v>0</v>
      </c>
      <c r="Y42" s="13" t="n">
        <f aca="false">SUMIF(الافتراضات!$C$61:$C$63,Y$3,الافتراضات!$D$61:$D$63)</f>
        <v>0</v>
      </c>
      <c r="Z42" s="13" t="n">
        <f aca="false">SUMIF(الافتراضات!$C$61:$C$63,Z$3,الافتراضات!$D$61:$D$63)</f>
        <v>0</v>
      </c>
      <c r="AA42" s="13" t="n">
        <f aca="false">SUMIF(الافتراضات!$C$61:$C$63,AA$3,الافتراضات!$D$61:$D$63)</f>
        <v>5000000</v>
      </c>
      <c r="AB42" s="13" t="n">
        <f aca="false">SUMIF(الافتراضات!$C$61:$C$63,AB$3,الافتراضات!$D$61:$D$63)</f>
        <v>0</v>
      </c>
      <c r="AC42" s="13" t="n">
        <f aca="false">SUMIF(الافتراضات!$C$61:$C$63,AC$3,الافتراضات!$D$61:$D$63)</f>
        <v>0</v>
      </c>
      <c r="AD42" s="13" t="n">
        <f aca="false">SUMIF(الافتراضات!$C$61:$C$63,AD$3,الافتراضات!$D$61:$D$63)</f>
        <v>0</v>
      </c>
      <c r="AE42" s="13" t="n">
        <f aca="false">SUMIF(الافتراضات!$C$61:$C$63,AE$3,الافتراضات!$D$61:$D$63)</f>
        <v>0</v>
      </c>
      <c r="AF42" s="13" t="n">
        <f aca="false">SUMIF(الافتراضات!$C$61:$C$63,AF$3,الافتراضات!$D$61:$D$63)</f>
        <v>0</v>
      </c>
      <c r="AG42" s="13" t="n">
        <f aca="false">SUMIF(الافتراضات!$C$61:$C$63,AG$3,الافتراضات!$D$61:$D$63)</f>
        <v>0</v>
      </c>
      <c r="AH42" s="13" t="n">
        <f aca="false">SUMIF(الافتراضات!$C$61:$C$63,AH$3,الافتراضات!$D$61:$D$63)</f>
        <v>0</v>
      </c>
      <c r="AI42" s="13" t="n">
        <f aca="false">SUMIF(الافتراضات!$C$61:$C$63,AI$3,الافتراضات!$D$61:$D$63)</f>
        <v>0</v>
      </c>
      <c r="AJ42" s="13" t="n">
        <f aca="false">SUMIF(الافتراضات!$C$61:$C$63,AJ$3,الافتراضات!$D$61:$D$63)</f>
        <v>0</v>
      </c>
      <c r="AK42" s="13" t="n">
        <f aca="false">SUMIF(الافتراضات!$C$61:$C$63,AK$3,الافتراضات!$D$61:$D$63)</f>
        <v>0</v>
      </c>
      <c r="AL42" s="13" t="n">
        <f aca="false">SUMIF(الافتراضات!$C$61:$C$63,AL$3,الافتراضات!$D$61:$D$63)</f>
        <v>0</v>
      </c>
    </row>
    <row r="43" customFormat="false" ht="15" hidden="false" customHeight="false" outlineLevel="0" collapsed="false">
      <c r="A43" s="10" t="s">
        <v>195</v>
      </c>
      <c r="B43" s="27" t="s">
        <v>172</v>
      </c>
      <c r="C43" s="14" t="n">
        <f aca="false">C39+C42</f>
        <v>174705</v>
      </c>
      <c r="D43" s="14" t="n">
        <f aca="false">D39+D42</f>
        <v>-14460</v>
      </c>
      <c r="E43" s="14" t="n">
        <f aca="false">E39+E42</f>
        <v>-14460</v>
      </c>
      <c r="F43" s="14" t="n">
        <f aca="false">F39+F42</f>
        <v>-14460</v>
      </c>
      <c r="G43" s="14" t="n">
        <f aca="false">G39+G42</f>
        <v>-14460</v>
      </c>
      <c r="H43" s="14" t="n">
        <f aca="false">H39+H42</f>
        <v>-14460</v>
      </c>
      <c r="I43" s="14" t="n">
        <f aca="false">I39+I42</f>
        <v>-18145</v>
      </c>
      <c r="J43" s="14" t="n">
        <f aca="false">J39+J42</f>
        <v>-25365</v>
      </c>
      <c r="K43" s="14" t="n">
        <f aca="false">K39+K42</f>
        <v>-25099.56</v>
      </c>
      <c r="L43" s="14" t="n">
        <f aca="false">L39+L42</f>
        <v>-22054.38432</v>
      </c>
      <c r="M43" s="14" t="n">
        <f aca="false">M39+M42</f>
        <v>972758.90366464</v>
      </c>
      <c r="N43" s="14" t="n">
        <f aca="false">N39+N42</f>
        <v>-43881.2393259213</v>
      </c>
      <c r="O43" s="14" t="n">
        <f aca="false">O39+O42</f>
        <v>-49121.6148809734</v>
      </c>
      <c r="P43" s="14" t="n">
        <f aca="false">P39+P42</f>
        <v>-48901.5609071628</v>
      </c>
      <c r="Q43" s="14" t="n">
        <f aca="false">Q39+Q42</f>
        <v>-48692.9497399903</v>
      </c>
      <c r="R43" s="14" t="n">
        <f aca="false">R39+R42</f>
        <v>-60470.1863535108</v>
      </c>
      <c r="S43" s="14" t="n">
        <f aca="false">S39+S42</f>
        <v>-59785.0066631282</v>
      </c>
      <c r="T43" s="14" t="n">
        <f aca="false">T39+T42</f>
        <v>-59135.4563166456</v>
      </c>
      <c r="U43" s="14" t="n">
        <f aca="false">U39+U42</f>
        <v>-58519.68258818</v>
      </c>
      <c r="V43" s="14" t="n">
        <f aca="false">V39+V42</f>
        <v>-57935.9290935946</v>
      </c>
      <c r="W43" s="14" t="n">
        <f aca="false">W39+W42</f>
        <v>-57382.5307807277</v>
      </c>
      <c r="X43" s="14" t="n">
        <f aca="false">X39+X42</f>
        <v>-56857.9091801299</v>
      </c>
      <c r="Y43" s="14" t="n">
        <f aca="false">Y39+Y42</f>
        <v>-56360.5679027631</v>
      </c>
      <c r="Z43" s="14" t="n">
        <f aca="false">Z39+Z42</f>
        <v>-61389.0883718194</v>
      </c>
      <c r="AA43" s="14" t="n">
        <f aca="false">AA39+AA42</f>
        <v>4890015.99922352</v>
      </c>
      <c r="AB43" s="14" t="n">
        <f aca="false">AB39+AB42</f>
        <v>-108365.800236108</v>
      </c>
      <c r="AC43" s="14" t="n">
        <f aca="false">AC39+AC42</f>
        <v>-106831.74612383</v>
      </c>
      <c r="AD43" s="14" t="n">
        <f aca="false">AD39+AD42</f>
        <v>-105377.462825391</v>
      </c>
      <c r="AE43" s="14" t="n">
        <f aca="false">AE39+AE42</f>
        <v>-103998.802258471</v>
      </c>
      <c r="AF43" s="14" t="n">
        <f aca="false">AF39+AF42</f>
        <v>-102691.83204103</v>
      </c>
      <c r="AG43" s="14" t="n">
        <f aca="false">AG39+AG42</f>
        <v>-101452.824274897</v>
      </c>
      <c r="AH43" s="14" t="n">
        <f aca="false">AH39+AH42</f>
        <v>-100278.244912602</v>
      </c>
      <c r="AI43" s="14" t="n">
        <f aca="false">AI39+AI42</f>
        <v>-99164.7436771466</v>
      </c>
      <c r="AJ43" s="14" t="n">
        <f aca="false">AJ39+AJ42</f>
        <v>-98109.144505935</v>
      </c>
      <c r="AK43" s="14" t="n">
        <f aca="false">AK39+AK42</f>
        <v>-97108.4364916263</v>
      </c>
      <c r="AL43" s="14" t="n">
        <f aca="false">AL39+AL42</f>
        <v>-96159.7652940618</v>
      </c>
    </row>
    <row r="44" customFormat="false" ht="15" hidden="false" customHeight="false" outlineLevel="0" collapsed="false">
      <c r="A44" s="10" t="s">
        <v>196</v>
      </c>
      <c r="B44" s="27" t="s">
        <v>172</v>
      </c>
      <c r="C44" s="14" t="n">
        <v>0</v>
      </c>
      <c r="D44" s="14" t="n">
        <f aca="false">C45</f>
        <v>174705</v>
      </c>
      <c r="E44" s="14" t="n">
        <f aca="false">D45</f>
        <v>160245</v>
      </c>
      <c r="F44" s="14" t="n">
        <f aca="false">E45</f>
        <v>145785</v>
      </c>
      <c r="G44" s="14" t="n">
        <f aca="false">F45</f>
        <v>131325</v>
      </c>
      <c r="H44" s="14" t="n">
        <f aca="false">G45</f>
        <v>116865</v>
      </c>
      <c r="I44" s="14" t="n">
        <f aca="false">H45</f>
        <v>102405</v>
      </c>
      <c r="J44" s="14" t="n">
        <f aca="false">I45</f>
        <v>84260</v>
      </c>
      <c r="K44" s="14" t="n">
        <f aca="false">J45</f>
        <v>58895</v>
      </c>
      <c r="L44" s="14" t="n">
        <f aca="false">K45</f>
        <v>33795.44</v>
      </c>
      <c r="M44" s="14" t="n">
        <f aca="false">L45</f>
        <v>11741.05568</v>
      </c>
      <c r="N44" s="14" t="n">
        <f aca="false">M45</f>
        <v>984499.95934464</v>
      </c>
      <c r="O44" s="14" t="n">
        <f aca="false">N45</f>
        <v>940618.720018719</v>
      </c>
      <c r="P44" s="14" t="n">
        <f aca="false">O45</f>
        <v>891497.105137745</v>
      </c>
      <c r="Q44" s="14" t="n">
        <f aca="false">P45</f>
        <v>842595.544230583</v>
      </c>
      <c r="R44" s="14" t="n">
        <f aca="false">Q45</f>
        <v>793902.594490592</v>
      </c>
      <c r="S44" s="14" t="n">
        <f aca="false">R45</f>
        <v>733432.408137082</v>
      </c>
      <c r="T44" s="14" t="n">
        <f aca="false">S45</f>
        <v>673647.401473953</v>
      </c>
      <c r="U44" s="14" t="n">
        <f aca="false">T45</f>
        <v>614511.945157308</v>
      </c>
      <c r="V44" s="14" t="n">
        <f aca="false">U45</f>
        <v>555992.262569128</v>
      </c>
      <c r="W44" s="14" t="n">
        <f aca="false">V45</f>
        <v>498056.333475533</v>
      </c>
      <c r="X44" s="14" t="n">
        <f aca="false">W45</f>
        <v>440673.802694805</v>
      </c>
      <c r="Y44" s="14" t="n">
        <f aca="false">X45</f>
        <v>383815.893514675</v>
      </c>
      <c r="Z44" s="14" t="n">
        <f aca="false">Y45</f>
        <v>327455.325611912</v>
      </c>
      <c r="AA44" s="14" t="n">
        <f aca="false">Z45</f>
        <v>266066.237240093</v>
      </c>
      <c r="AB44" s="14" t="n">
        <f aca="false">AA45</f>
        <v>5156082.23646361</v>
      </c>
      <c r="AC44" s="14" t="n">
        <f aca="false">AB45</f>
        <v>5047716.4362275</v>
      </c>
      <c r="AD44" s="14" t="n">
        <f aca="false">AC45</f>
        <v>4940884.69010367</v>
      </c>
      <c r="AE44" s="14" t="n">
        <f aca="false">AD45</f>
        <v>4835507.22727828</v>
      </c>
      <c r="AF44" s="14" t="n">
        <f aca="false">AE45</f>
        <v>4731508.42501981</v>
      </c>
      <c r="AG44" s="14" t="n">
        <f aca="false">AF45</f>
        <v>4628816.59297878</v>
      </c>
      <c r="AH44" s="14" t="n">
        <f aca="false">AG45</f>
        <v>4527363.76870388</v>
      </c>
      <c r="AI44" s="14" t="n">
        <f aca="false">AH45</f>
        <v>4427085.52379128</v>
      </c>
      <c r="AJ44" s="14" t="n">
        <f aca="false">AI45</f>
        <v>4327920.78011414</v>
      </c>
      <c r="AK44" s="14" t="n">
        <f aca="false">AJ45</f>
        <v>4229811.6356082</v>
      </c>
      <c r="AL44" s="14" t="n">
        <f aca="false">AK45</f>
        <v>4132703.19911657</v>
      </c>
    </row>
    <row r="45" customFormat="false" ht="15" hidden="false" customHeight="false" outlineLevel="0" collapsed="false">
      <c r="A45" s="40" t="s">
        <v>197</v>
      </c>
      <c r="B45" s="27" t="s">
        <v>172</v>
      </c>
      <c r="C45" s="46" t="n">
        <f aca="false">C44+C43</f>
        <v>174705</v>
      </c>
      <c r="D45" s="46" t="n">
        <f aca="false">D44+D43</f>
        <v>160245</v>
      </c>
      <c r="E45" s="46" t="n">
        <f aca="false">E44+E43</f>
        <v>145785</v>
      </c>
      <c r="F45" s="46" t="n">
        <f aca="false">F44+F43</f>
        <v>131325</v>
      </c>
      <c r="G45" s="46" t="n">
        <f aca="false">G44+G43</f>
        <v>116865</v>
      </c>
      <c r="H45" s="46" t="n">
        <f aca="false">H44+H43</f>
        <v>102405</v>
      </c>
      <c r="I45" s="46" t="n">
        <f aca="false">I44+I43</f>
        <v>84260</v>
      </c>
      <c r="J45" s="46" t="n">
        <f aca="false">J44+J43</f>
        <v>58895</v>
      </c>
      <c r="K45" s="46" t="n">
        <f aca="false">K44+K43</f>
        <v>33795.44</v>
      </c>
      <c r="L45" s="46" t="n">
        <f aca="false">L44+L43</f>
        <v>11741.05568</v>
      </c>
      <c r="M45" s="46" t="n">
        <f aca="false">M44+M43</f>
        <v>984499.95934464</v>
      </c>
      <c r="N45" s="46" t="n">
        <f aca="false">N44+N43</f>
        <v>940618.720018719</v>
      </c>
      <c r="O45" s="46" t="n">
        <f aca="false">O44+O43</f>
        <v>891497.105137745</v>
      </c>
      <c r="P45" s="46" t="n">
        <f aca="false">P44+P43</f>
        <v>842595.544230583</v>
      </c>
      <c r="Q45" s="46" t="n">
        <f aca="false">Q44+Q43</f>
        <v>793902.594490592</v>
      </c>
      <c r="R45" s="46" t="n">
        <f aca="false">R44+R43</f>
        <v>733432.408137082</v>
      </c>
      <c r="S45" s="46" t="n">
        <f aca="false">S44+S43</f>
        <v>673647.401473953</v>
      </c>
      <c r="T45" s="46" t="n">
        <f aca="false">T44+T43</f>
        <v>614511.945157308</v>
      </c>
      <c r="U45" s="46" t="n">
        <f aca="false">U44+U43</f>
        <v>555992.262569128</v>
      </c>
      <c r="V45" s="46" t="n">
        <f aca="false">V44+V43</f>
        <v>498056.333475533</v>
      </c>
      <c r="W45" s="46" t="n">
        <f aca="false">W44+W43</f>
        <v>440673.802694805</v>
      </c>
      <c r="X45" s="46" t="n">
        <f aca="false">X44+X43</f>
        <v>383815.893514675</v>
      </c>
      <c r="Y45" s="46" t="n">
        <f aca="false">Y44+Y43</f>
        <v>327455.325611912</v>
      </c>
      <c r="Z45" s="46" t="n">
        <f aca="false">Z44+Z43</f>
        <v>266066.237240093</v>
      </c>
      <c r="AA45" s="46" t="n">
        <f aca="false">AA44+AA43</f>
        <v>5156082.23646361</v>
      </c>
      <c r="AB45" s="46" t="n">
        <f aca="false">AB44+AB43</f>
        <v>5047716.4362275</v>
      </c>
      <c r="AC45" s="46" t="n">
        <f aca="false">AC44+AC43</f>
        <v>4940884.69010367</v>
      </c>
      <c r="AD45" s="46" t="n">
        <f aca="false">AD44+AD43</f>
        <v>4835507.22727828</v>
      </c>
      <c r="AE45" s="46" t="n">
        <f aca="false">AE44+AE43</f>
        <v>4731508.42501981</v>
      </c>
      <c r="AF45" s="46" t="n">
        <f aca="false">AF44+AF43</f>
        <v>4628816.59297878</v>
      </c>
      <c r="AG45" s="46" t="n">
        <f aca="false">AG44+AG43</f>
        <v>4527363.76870388</v>
      </c>
      <c r="AH45" s="46" t="n">
        <f aca="false">AH44+AH43</f>
        <v>4427085.52379128</v>
      </c>
      <c r="AI45" s="46" t="n">
        <f aca="false">AI44+AI43</f>
        <v>4327920.78011414</v>
      </c>
      <c r="AJ45" s="46" t="n">
        <f aca="false">AJ44+AJ43</f>
        <v>4229811.6356082</v>
      </c>
      <c r="AK45" s="46" t="n">
        <f aca="false">AK44+AK43</f>
        <v>4132703.19911657</v>
      </c>
      <c r="AL45" s="46" t="n">
        <f aca="false">AL44+AL43</f>
        <v>4036543.43382251</v>
      </c>
    </row>
    <row r="46" customFormat="false" ht="15" hidden="false" customHeight="false" outlineLevel="0" collapsed="false">
      <c r="A46" s="10" t="s">
        <v>198</v>
      </c>
      <c r="B46" s="27" t="s">
        <v>172</v>
      </c>
      <c r="C46" s="14" t="n">
        <f aca="false">MAX(0,-C39)</f>
        <v>25295</v>
      </c>
      <c r="D46" s="14" t="n">
        <f aca="false">MAX(0,-D39)</f>
        <v>14460</v>
      </c>
      <c r="E46" s="14" t="n">
        <f aca="false">MAX(0,-E39)</f>
        <v>14460</v>
      </c>
      <c r="F46" s="14" t="n">
        <f aca="false">MAX(0,-F39)</f>
        <v>14460</v>
      </c>
      <c r="G46" s="14" t="n">
        <f aca="false">MAX(0,-G39)</f>
        <v>14460</v>
      </c>
      <c r="H46" s="14" t="n">
        <f aca="false">MAX(0,-H39)</f>
        <v>14460</v>
      </c>
      <c r="I46" s="14" t="n">
        <f aca="false">MAX(0,-I39)</f>
        <v>18145</v>
      </c>
      <c r="J46" s="14" t="n">
        <f aca="false">MAX(0,-J39)</f>
        <v>25365</v>
      </c>
      <c r="K46" s="14" t="n">
        <f aca="false">MAX(0,-K39)</f>
        <v>25099.56</v>
      </c>
      <c r="L46" s="14" t="n">
        <f aca="false">MAX(0,-L39)</f>
        <v>22054.38432</v>
      </c>
      <c r="M46" s="14" t="n">
        <f aca="false">MAX(0,-M39)</f>
        <v>27241.09633536</v>
      </c>
      <c r="N46" s="14" t="n">
        <f aca="false">MAX(0,-N39)</f>
        <v>43881.2393259213</v>
      </c>
      <c r="O46" s="14" t="n">
        <f aca="false">MAX(0,-O39)</f>
        <v>49121.6148809734</v>
      </c>
      <c r="P46" s="14" t="n">
        <f aca="false">MAX(0,-P39)</f>
        <v>48901.5609071628</v>
      </c>
      <c r="Q46" s="14" t="n">
        <f aca="false">MAX(0,-Q39)</f>
        <v>48692.9497399903</v>
      </c>
      <c r="R46" s="14" t="n">
        <f aca="false">MAX(0,-R39)</f>
        <v>60470.1863535108</v>
      </c>
      <c r="S46" s="14" t="n">
        <f aca="false">MAX(0,-S39)</f>
        <v>59785.0066631282</v>
      </c>
      <c r="T46" s="14" t="n">
        <f aca="false">MAX(0,-T39)</f>
        <v>59135.4563166456</v>
      </c>
      <c r="U46" s="14" t="n">
        <f aca="false">MAX(0,-U39)</f>
        <v>58519.68258818</v>
      </c>
      <c r="V46" s="14" t="n">
        <f aca="false">MAX(0,-V39)</f>
        <v>57935.9290935946</v>
      </c>
      <c r="W46" s="14" t="n">
        <f aca="false">MAX(0,-W39)</f>
        <v>57382.5307807277</v>
      </c>
      <c r="X46" s="14" t="n">
        <f aca="false">MAX(0,-X39)</f>
        <v>56857.9091801299</v>
      </c>
      <c r="Y46" s="14" t="n">
        <f aca="false">MAX(0,-Y39)</f>
        <v>56360.5679027631</v>
      </c>
      <c r="Z46" s="14" t="n">
        <f aca="false">MAX(0,-Z39)</f>
        <v>61389.0883718194</v>
      </c>
      <c r="AA46" s="14" t="n">
        <f aca="false">MAX(0,-AA39)</f>
        <v>109984.000776485</v>
      </c>
      <c r="AB46" s="14" t="n">
        <f aca="false">MAX(0,-AB39)</f>
        <v>108365.800236108</v>
      </c>
      <c r="AC46" s="14" t="n">
        <f aca="false">MAX(0,-AC39)</f>
        <v>106831.74612383</v>
      </c>
      <c r="AD46" s="14" t="n">
        <f aca="false">MAX(0,-AD39)</f>
        <v>105377.462825391</v>
      </c>
      <c r="AE46" s="14" t="n">
        <f aca="false">MAX(0,-AE39)</f>
        <v>103998.802258471</v>
      </c>
      <c r="AF46" s="14" t="n">
        <f aca="false">MAX(0,-AF39)</f>
        <v>102691.83204103</v>
      </c>
      <c r="AG46" s="14" t="n">
        <f aca="false">MAX(0,-AG39)</f>
        <v>101452.824274897</v>
      </c>
      <c r="AH46" s="14" t="n">
        <f aca="false">MAX(0,-AH39)</f>
        <v>100278.244912602</v>
      </c>
      <c r="AI46" s="14" t="n">
        <f aca="false">MAX(0,-AI39)</f>
        <v>99164.7436771466</v>
      </c>
      <c r="AJ46" s="14" t="n">
        <f aca="false">MAX(0,-AJ39)</f>
        <v>98109.144505935</v>
      </c>
      <c r="AK46" s="14" t="n">
        <f aca="false">MAX(0,-AK39)</f>
        <v>97108.4364916263</v>
      </c>
      <c r="AL46" s="14" t="n">
        <f aca="false">MAX(0,-AL39)</f>
        <v>96159.7652940618</v>
      </c>
    </row>
    <row r="47" customFormat="false" ht="15" hidden="false" customHeight="false" outlineLevel="0" collapsed="false">
      <c r="A47" s="10" t="s">
        <v>199</v>
      </c>
      <c r="B47" s="27" t="s">
        <v>200</v>
      </c>
      <c r="C47" s="47" t="n">
        <f aca="false">IF(C46&gt;0,MAX(0,C45)/C46,0)</f>
        <v>6.90670092903736</v>
      </c>
      <c r="D47" s="47" t="n">
        <f aca="false">IF(D46&gt;0,MAX(0,D45)/D46,0)</f>
        <v>11.0819502074689</v>
      </c>
      <c r="E47" s="47" t="n">
        <f aca="false">IF(E46&gt;0,MAX(0,E45)/E46,0)</f>
        <v>10.0819502074689</v>
      </c>
      <c r="F47" s="47" t="n">
        <f aca="false">IF(F46&gt;0,MAX(0,F45)/F46,0)</f>
        <v>9.08195020746888</v>
      </c>
      <c r="G47" s="47" t="n">
        <f aca="false">IF(G46&gt;0,MAX(0,G45)/G46,0)</f>
        <v>8.08195020746888</v>
      </c>
      <c r="H47" s="47" t="n">
        <f aca="false">IF(H46&gt;0,MAX(0,H45)/H46,0)</f>
        <v>7.08195020746888</v>
      </c>
      <c r="I47" s="47" t="n">
        <f aca="false">IF(I46&gt;0,MAX(0,I45)/I46,0)</f>
        <v>4.64370349958666</v>
      </c>
      <c r="J47" s="47" t="n">
        <f aca="false">IF(J46&gt;0,MAX(0,J45)/J46,0)</f>
        <v>2.32190025625862</v>
      </c>
      <c r="K47" s="47" t="n">
        <f aca="false">IF(K46&gt;0,MAX(0,K45)/K46,0)</f>
        <v>1.34645547571352</v>
      </c>
      <c r="L47" s="47" t="n">
        <f aca="false">IF(L46&gt;0,MAX(0,L45)/L46,0)</f>
        <v>0.532368326843413</v>
      </c>
      <c r="M47" s="47" t="n">
        <f aca="false">IF(M46&gt;0,MAX(0,M45)/M46,0)</f>
        <v>36.1402473389708</v>
      </c>
      <c r="N47" s="47" t="n">
        <f aca="false">IF(N46&gt;0,MAX(0,N45)/N46,0)</f>
        <v>21.4355550223278</v>
      </c>
      <c r="O47" s="47" t="n">
        <f aca="false">IF(O46&gt;0,MAX(0,O45)/O46,0)</f>
        <v>18.1487743694488</v>
      </c>
      <c r="P47" s="47" t="n">
        <f aca="false">IF(P46&gt;0,MAX(0,P45)/P46,0)</f>
        <v>17.2304427220679</v>
      </c>
      <c r="Q47" s="47" t="n">
        <f aca="false">IF(Q46&gt;0,MAX(0,Q45)/Q46,0)</f>
        <v>16.3042616791519</v>
      </c>
      <c r="R47" s="47" t="n">
        <f aca="false">IF(R46&gt;0,MAX(0,R45)/R46,0)</f>
        <v>12.128826655989</v>
      </c>
      <c r="S47" s="47" t="n">
        <f aca="false">IF(S46&gt;0,MAX(0,S45)/S46,0)</f>
        <v>11.2678318373329</v>
      </c>
      <c r="T47" s="47" t="n">
        <f aca="false">IF(T46&gt;0,MAX(0,T45)/T46,0)</f>
        <v>10.391598939676</v>
      </c>
      <c r="U47" s="47" t="n">
        <f aca="false">IF(U46&gt;0,MAX(0,U45)/U46,0)</f>
        <v>9.5009446049427</v>
      </c>
      <c r="V47" s="47" t="n">
        <f aca="false">IF(V46&gt;0,MAX(0,V45)/V46,0)</f>
        <v>8.59667465884478</v>
      </c>
      <c r="W47" s="47" t="n">
        <f aca="false">IF(W46&gt;0,MAX(0,W45)/W46,0)</f>
        <v>7.67958116693606</v>
      </c>
      <c r="X47" s="47" t="n">
        <f aca="false">IF(X46&gt;0,MAX(0,X45)/X46,0)</f>
        <v>6.75043980774459</v>
      </c>
      <c r="Y47" s="47" t="n">
        <f aca="false">IF(Y46&gt;0,MAX(0,Y45)/Y46,0)</f>
        <v>5.81000756019455</v>
      </c>
      <c r="Z47" s="47" t="n">
        <f aca="false">IF(Z46&gt;0,MAX(0,Z45)/Z46,0)</f>
        <v>4.33409656824665</v>
      </c>
      <c r="AA47" s="47" t="n">
        <f aca="false">IF(AA46&gt;0,MAX(0,AA45)/AA46,0)</f>
        <v>46.8802934977976</v>
      </c>
      <c r="AB47" s="47" t="n">
        <f aca="false">IF(AB46&gt;0,MAX(0,AB45)/AB46,0)</f>
        <v>46.5803456923635</v>
      </c>
      <c r="AC47" s="47" t="n">
        <f aca="false">IF(AC46&gt;0,MAX(0,AC45)/AC46,0)</f>
        <v>46.2492177594535</v>
      </c>
      <c r="AD47" s="47" t="n">
        <f aca="false">IF(AD46&gt;0,MAX(0,AD45)/AD46,0)</f>
        <v>45.8874895791585</v>
      </c>
      <c r="AE47" s="47" t="n">
        <f aca="false">IF(AE46&gt;0,MAX(0,AE45)/AE46,0)</f>
        <v>45.4957972810157</v>
      </c>
      <c r="AF47" s="47" t="n">
        <f aca="false">IF(AF46&gt;0,MAX(0,AF45)/AF46,0)</f>
        <v>45.0748272864521</v>
      </c>
      <c r="AG47" s="47" t="n">
        <f aca="false">IF(AG46&gt;0,MAX(0,AG45)/AG46,0)</f>
        <v>44.6253103455902</v>
      </c>
      <c r="AH47" s="47" t="n">
        <f aca="false">IF(AH46&gt;0,MAX(0,AH45)/AH46,0)</f>
        <v>44.1480156304065</v>
      </c>
      <c r="AI47" s="47" t="n">
        <f aca="false">IF(AI46&gt;0,MAX(0,AI45)/AI46,0)</f>
        <v>43.6437449402851</v>
      </c>
      <c r="AJ47" s="47" t="n">
        <f aca="false">IF(AJ46&gt;0,MAX(0,AJ45)/AJ46,0)</f>
        <v>43.1133270696528</v>
      </c>
      <c r="AK47" s="47" t="n">
        <f aca="false">IF(AK46&gt;0,MAX(0,AK45)/AK46,0)</f>
        <v>42.5576123808042</v>
      </c>
      <c r="AL47" s="47" t="n">
        <f aca="false">IF(AL46&gt;0,MAX(0,AL45)/AL46,0)</f>
        <v>41.9774676183801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2026-10-12T17:24:53Z</dcterms:created>
  <dc:creator>openpyxl</dc:creator>
  <dc:description/>
  <dc:language>en-US</dc:language>
  <cp:lastModifiedBy/>
  <dcterms:modified xsi:type="dcterms:W3CDTF">2026-10-12T17:24:53Z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